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shipping\"/>
    </mc:Choice>
  </mc:AlternateContent>
  <bookViews>
    <workbookView xWindow="0" yWindow="0" windowWidth="23040" windowHeight="9720"/>
  </bookViews>
  <sheets>
    <sheet name="FS" sheetId="1" r:id="rId1"/>
    <sheet name="JM" sheetId="6" r:id="rId2"/>
    <sheet name="工作表1" sheetId="7" r:id="rId3"/>
    <sheet name="EX" sheetId="5" r:id="rId4"/>
    <sheet name="TS" sheetId="8" r:id="rId5"/>
    <sheet name="工作表2" sheetId="9" r:id="rId6"/>
  </sheets>
  <definedNames>
    <definedName name="_xlnm._FilterDatabase" localSheetId="0" hidden="1">FS!$A$1:$H$94</definedName>
  </definedNames>
  <calcPr calcId="162913"/>
</workbook>
</file>

<file path=xl/calcChain.xml><?xml version="1.0" encoding="utf-8"?>
<calcChain xmlns="http://schemas.openxmlformats.org/spreadsheetml/2006/main">
  <c r="F62" i="1" l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56" i="1"/>
  <c r="F4" i="9" l="1"/>
  <c r="L2" i="7"/>
  <c r="K2" i="7"/>
  <c r="J2" i="7"/>
  <c r="H5" i="7"/>
  <c r="F21" i="1" l="1"/>
  <c r="F22" i="1"/>
  <c r="F23" i="1"/>
  <c r="F24" i="1"/>
  <c r="F25" i="1"/>
  <c r="F26" i="1"/>
  <c r="F27" i="1"/>
  <c r="F28" i="1"/>
  <c r="F29" i="1"/>
  <c r="F30" i="1"/>
  <c r="F31" i="1"/>
  <c r="F32" i="1"/>
  <c r="F33" i="1"/>
  <c r="F20" i="1"/>
  <c r="F19" i="1"/>
  <c r="F18" i="1"/>
  <c r="F17" i="1"/>
  <c r="F16" i="1"/>
  <c r="F15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F61" i="1" l="1"/>
  <c r="F60" i="1"/>
  <c r="F59" i="1"/>
  <c r="F58" i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6" i="6"/>
  <c r="F7" i="6"/>
  <c r="F5" i="6"/>
  <c r="F4" i="6"/>
  <c r="F3" i="6"/>
  <c r="F2" i="6"/>
  <c r="F2" i="5" l="1"/>
  <c r="F3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9" i="1"/>
  <c r="F38" i="1"/>
  <c r="F37" i="1"/>
  <c r="F36" i="1"/>
  <c r="F42" i="1"/>
  <c r="F41" i="1"/>
  <c r="F40" i="1"/>
  <c r="F35" i="1"/>
  <c r="F34" i="1"/>
</calcChain>
</file>

<file path=xl/sharedStrings.xml><?xml version="1.0" encoding="utf-8"?>
<sst xmlns="http://schemas.openxmlformats.org/spreadsheetml/2006/main" count="384" uniqueCount="144">
  <si>
    <t>數量</t>
    <phoneticPr fontId="4" type="noConversion"/>
  </si>
  <si>
    <t>單 價</t>
    <phoneticPr fontId="4" type="noConversion"/>
  </si>
  <si>
    <t>小 計</t>
    <phoneticPr fontId="4" type="noConversion"/>
  </si>
  <si>
    <t>F S</t>
    <phoneticPr fontId="4" type="noConversion"/>
  </si>
  <si>
    <t>2025/06/22</t>
    <phoneticPr fontId="3" type="noConversion"/>
  </si>
  <si>
    <t>QFS0622-A</t>
    <phoneticPr fontId="3" type="noConversion"/>
  </si>
  <si>
    <t>QFS0622-B</t>
    <phoneticPr fontId="3" type="noConversion"/>
  </si>
  <si>
    <r>
      <t xml:space="preserve">231774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A</t>
    </r>
    <phoneticPr fontId="3" type="noConversion"/>
  </si>
  <si>
    <r>
      <t xml:space="preserve">999944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A</t>
    </r>
    <phoneticPr fontId="3" type="noConversion"/>
  </si>
  <si>
    <t>預計交期</t>
    <phoneticPr fontId="4" type="noConversion"/>
  </si>
  <si>
    <t>2025/08/11</t>
    <phoneticPr fontId="3" type="noConversion"/>
  </si>
  <si>
    <r>
      <rPr>
        <b/>
        <sz val="12"/>
        <color indexed="12"/>
        <rFont val="細明體"/>
        <family val="3"/>
        <charset val="136"/>
      </rPr>
      <t>採購單號</t>
    </r>
    <phoneticPr fontId="4" type="noConversion"/>
  </si>
  <si>
    <t xml:space="preserve">N C </t>
    <phoneticPr fontId="4" type="noConversion"/>
  </si>
  <si>
    <t>備註</t>
    <phoneticPr fontId="3" type="noConversion"/>
  </si>
  <si>
    <t>單據編號</t>
    <phoneticPr fontId="4" type="noConversion"/>
  </si>
  <si>
    <t>交庫存</t>
    <phoneticPr fontId="3" type="noConversion"/>
  </si>
  <si>
    <t>材料尺寸*數量</t>
    <phoneticPr fontId="4" type="noConversion"/>
  </si>
  <si>
    <t>到料日</t>
    <phoneticPr fontId="4" type="noConversion"/>
  </si>
  <si>
    <t>叫料日</t>
    <phoneticPr fontId="4" type="noConversion"/>
  </si>
  <si>
    <t>D W G</t>
    <phoneticPr fontId="4" type="noConversion"/>
  </si>
  <si>
    <t>20250715-02</t>
    <phoneticPr fontId="3" type="noConversion"/>
  </si>
  <si>
    <t>2025/09/19</t>
    <phoneticPr fontId="3" type="noConversion"/>
  </si>
  <si>
    <t>出貨單據編號</t>
    <phoneticPr fontId="4" type="noConversion"/>
  </si>
  <si>
    <r>
      <t>TPOM7250601092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李璧吟</t>
    </r>
    <phoneticPr fontId="3" type="noConversion"/>
  </si>
  <si>
    <t>目前庫存量</t>
    <phoneticPr fontId="3" type="noConversion"/>
  </si>
  <si>
    <t>結案</t>
    <phoneticPr fontId="3" type="noConversion"/>
  </si>
  <si>
    <t>2025/08/18</t>
    <phoneticPr fontId="3" type="noConversion"/>
  </si>
  <si>
    <t>訂購日期</t>
    <phoneticPr fontId="4" type="noConversion"/>
  </si>
  <si>
    <t>20250822-01</t>
    <phoneticPr fontId="3" type="noConversion"/>
  </si>
  <si>
    <t>29</t>
    <phoneticPr fontId="3" type="noConversion"/>
  </si>
  <si>
    <t>1</t>
    <phoneticPr fontId="3" type="noConversion"/>
  </si>
  <si>
    <t>2025/07/22</t>
    <phoneticPr fontId="3" type="noConversion"/>
  </si>
  <si>
    <r>
      <t>4022.666.10621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01</t>
    </r>
    <phoneticPr fontId="3" type="noConversion"/>
  </si>
  <si>
    <r>
      <t>TPOM7250701295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莊淑評</t>
    </r>
    <phoneticPr fontId="3" type="noConversion"/>
  </si>
  <si>
    <t>2025/07/13</t>
    <phoneticPr fontId="3" type="noConversion"/>
  </si>
  <si>
    <r>
      <t xml:space="preserve">339779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A</t>
    </r>
    <phoneticPr fontId="3" type="noConversion"/>
  </si>
  <si>
    <r>
      <t>TPOM7250700837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汪蓮玉</t>
    </r>
    <phoneticPr fontId="3" type="noConversion"/>
  </si>
  <si>
    <r>
      <t>600-000038640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3" type="noConversion"/>
  </si>
  <si>
    <t>2025/12/02</t>
    <phoneticPr fontId="3" type="noConversion"/>
  </si>
  <si>
    <r>
      <t>600-000041931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B</t>
    </r>
    <phoneticPr fontId="3" type="noConversion"/>
  </si>
  <si>
    <r>
      <rPr>
        <b/>
        <sz val="12"/>
        <color indexed="12"/>
        <rFont val="細明體"/>
        <family val="3"/>
        <charset val="136"/>
      </rPr>
      <t>單</t>
    </r>
    <r>
      <rPr>
        <b/>
        <sz val="12"/>
        <color indexed="12"/>
        <rFont val="Cambria"/>
        <family val="1"/>
      </rPr>
      <t xml:space="preserve"> </t>
    </r>
    <r>
      <rPr>
        <b/>
        <sz val="12"/>
        <color indexed="12"/>
        <rFont val="細明體"/>
        <family val="3"/>
        <charset val="136"/>
      </rPr>
      <t>價</t>
    </r>
    <phoneticPr fontId="4" type="noConversion"/>
  </si>
  <si>
    <r>
      <rPr>
        <b/>
        <sz val="12"/>
        <color indexed="12"/>
        <rFont val="細明體"/>
        <family val="3"/>
        <charset val="136"/>
      </rPr>
      <t>小</t>
    </r>
    <r>
      <rPr>
        <b/>
        <sz val="12"/>
        <color indexed="12"/>
        <rFont val="Cambria"/>
        <family val="1"/>
      </rPr>
      <t xml:space="preserve"> </t>
    </r>
    <r>
      <rPr>
        <b/>
        <sz val="12"/>
        <color indexed="12"/>
        <rFont val="細明體"/>
        <family val="3"/>
        <charset val="136"/>
      </rPr>
      <t>計</t>
    </r>
    <phoneticPr fontId="4" type="noConversion"/>
  </si>
  <si>
    <r>
      <t>600-000042463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3" type="noConversion"/>
  </si>
  <si>
    <r>
      <t>600-000042464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3" type="noConversion"/>
  </si>
  <si>
    <r>
      <t>600-000042470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3" type="noConversion"/>
  </si>
  <si>
    <t>2025/07/25</t>
    <phoneticPr fontId="3" type="noConversion"/>
  </si>
  <si>
    <r>
      <t xml:space="preserve">D5ZN10573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4" type="noConversion"/>
  </si>
  <si>
    <r>
      <t xml:space="preserve">D5ZN11076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4" type="noConversion"/>
  </si>
  <si>
    <r>
      <t xml:space="preserve">D5ZN11080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4" type="noConversion"/>
  </si>
  <si>
    <r>
      <t xml:space="preserve">D5ZN13279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4" type="noConversion"/>
  </si>
  <si>
    <r>
      <t>TPOM7250701409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>00</t>
    </r>
    <r>
      <rPr>
        <sz val="12"/>
        <rFont val="細明體"/>
        <family val="3"/>
        <charset val="136"/>
      </rPr>
      <t>李璧吟</t>
    </r>
    <phoneticPr fontId="3" type="noConversion"/>
  </si>
  <si>
    <r>
      <t xml:space="preserve">D7ZN10087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</si>
  <si>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D7ZN10088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</si>
  <si>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D7ZN10458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</si>
  <si>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D7ZN10459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</si>
  <si>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D7ZN10464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</si>
  <si>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t>2025/12/19</t>
    <phoneticPr fontId="3" type="noConversion"/>
  </si>
  <si>
    <r>
      <t xml:space="preserve">D7ZN10465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</si>
  <si>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D7ZN10467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2</t>
    </r>
    <phoneticPr fontId="4" type="noConversion"/>
  </si>
  <si>
    <r>
      <t xml:space="preserve">D7ZN10468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</si>
  <si>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 xml:space="preserve">D7ZN12006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</si>
  <si>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t>2025/08/01</t>
    <phoneticPr fontId="3" type="noConversion"/>
  </si>
  <si>
    <r>
      <t xml:space="preserve">4022.666.56793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01</t>
    </r>
    <phoneticPr fontId="4" type="noConversion"/>
  </si>
  <si>
    <t>2026/01/30</t>
    <phoneticPr fontId="3" type="noConversion"/>
  </si>
  <si>
    <t>2025/08/08</t>
    <phoneticPr fontId="3" type="noConversion"/>
  </si>
  <si>
    <r>
      <t xml:space="preserve">4022.666.56793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01</t>
    </r>
    <phoneticPr fontId="4" type="noConversion"/>
  </si>
  <si>
    <t>2026/01/16</t>
    <phoneticPr fontId="3" type="noConversion"/>
  </si>
  <si>
    <r>
      <t>TPOM7250800085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莊淑評</t>
    </r>
    <phoneticPr fontId="3" type="noConversion"/>
  </si>
  <si>
    <r>
      <t>TPOM7250800428Rev.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莊淑評</t>
    </r>
    <phoneticPr fontId="3" type="noConversion"/>
  </si>
  <si>
    <r>
      <t xml:space="preserve">4022.666.56772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01</t>
    </r>
    <phoneticPr fontId="4" type="noConversion"/>
  </si>
  <si>
    <t>2025/07/28</t>
    <phoneticPr fontId="3" type="noConversion"/>
  </si>
  <si>
    <t>20250728-08</t>
    <phoneticPr fontId="3" type="noConversion"/>
  </si>
  <si>
    <r>
      <t>TPOM7250800806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李璧吟</t>
    </r>
    <phoneticPr fontId="3" type="noConversion"/>
  </si>
  <si>
    <r>
      <rPr>
        <b/>
        <sz val="11"/>
        <color rgb="FF0000FF"/>
        <rFont val="Comic Sans MS"/>
        <family val="4"/>
      </rPr>
      <t>數量</t>
    </r>
    <phoneticPr fontId="4" type="noConversion"/>
  </si>
  <si>
    <t>Part NO</t>
    <phoneticPr fontId="3" type="noConversion"/>
  </si>
  <si>
    <t>G32-006216</t>
    <phoneticPr fontId="3" type="noConversion"/>
  </si>
  <si>
    <t>固定塊,3160-A-AA1-222A</t>
    <phoneticPr fontId="3" type="noConversion"/>
  </si>
  <si>
    <t>G32-014284</t>
    <phoneticPr fontId="3" type="noConversion"/>
  </si>
  <si>
    <t>固定座(Z軸氣壓轉接座),3160-A-AA1-315</t>
    <phoneticPr fontId="3" type="noConversion"/>
  </si>
  <si>
    <t>20250820</t>
    <phoneticPr fontId="3" type="noConversion"/>
  </si>
  <si>
    <t>G32-002981</t>
    <phoneticPr fontId="3" type="noConversion"/>
  </si>
  <si>
    <t>G32-011390</t>
    <phoneticPr fontId="3" type="noConversion"/>
  </si>
  <si>
    <t>固定座(翹翹板),3160-K1-031F</t>
    <phoneticPr fontId="3" type="noConversion"/>
  </si>
  <si>
    <t>固定座(氣壓缸),3160-C-AK1-038</t>
    <phoneticPr fontId="3" type="noConversion"/>
  </si>
  <si>
    <t>結案</t>
    <phoneticPr fontId="3" type="noConversion"/>
  </si>
  <si>
    <t>20250819-02</t>
    <phoneticPr fontId="3" type="noConversion"/>
  </si>
  <si>
    <t>20250819-01</t>
    <phoneticPr fontId="3" type="noConversion"/>
  </si>
  <si>
    <t>PO: 01001333133</t>
    <phoneticPr fontId="3" type="noConversion"/>
  </si>
  <si>
    <t>PO: 0100149485</t>
    <phoneticPr fontId="3" type="noConversion"/>
  </si>
  <si>
    <t>20250407-01</t>
    <phoneticPr fontId="3" type="noConversion"/>
  </si>
  <si>
    <t>A330-2025070961</t>
    <phoneticPr fontId="3" type="noConversion"/>
  </si>
  <si>
    <t>A330-2025071001</t>
    <phoneticPr fontId="3" type="noConversion"/>
  </si>
  <si>
    <t>A330-2025080252</t>
    <phoneticPr fontId="3" type="noConversion"/>
  </si>
  <si>
    <t>111-1010-17-2011 軟墊</t>
    <phoneticPr fontId="3" type="noConversion"/>
  </si>
  <si>
    <t>111-1014-17-2011 軟墊</t>
    <phoneticPr fontId="3" type="noConversion"/>
  </si>
  <si>
    <t>20250808-02</t>
    <phoneticPr fontId="3" type="noConversion"/>
  </si>
  <si>
    <r>
      <t>TPOM7250301489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>00</t>
    </r>
    <r>
      <rPr>
        <sz val="12"/>
        <rFont val="細明體"/>
        <family val="3"/>
        <charset val="136"/>
      </rPr>
      <t>李璧吟</t>
    </r>
    <phoneticPr fontId="3" type="noConversion"/>
  </si>
  <si>
    <r>
      <t>TPOM7250500966 Rev.</t>
    </r>
    <r>
      <rPr>
        <sz val="12"/>
        <rFont val="細明體"/>
        <family val="3"/>
        <charset val="136"/>
      </rPr>
      <t>：</t>
    </r>
    <r>
      <rPr>
        <sz val="12"/>
        <rFont val="Cambria"/>
        <family val="1"/>
      </rPr>
      <t xml:space="preserve">00 </t>
    </r>
    <r>
      <rPr>
        <sz val="12"/>
        <rFont val="細明體"/>
        <family val="3"/>
        <charset val="136"/>
      </rPr>
      <t>汪蓮玉</t>
    </r>
    <phoneticPr fontId="3" type="noConversion"/>
  </si>
  <si>
    <r>
      <t>600-000042463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</si>
  <si>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TPOM7250500966 Rev.</t>
    </r>
    <r>
      <rPr>
        <sz val="12"/>
        <color theme="1"/>
        <rFont val="細明體"/>
        <family val="3"/>
        <charset val="136"/>
      </rPr>
      <t>：</t>
    </r>
    <r>
      <rPr>
        <sz val="12"/>
        <color theme="1"/>
        <rFont val="Cambria"/>
        <family val="1"/>
      </rPr>
      <t xml:space="preserve">00 </t>
    </r>
    <r>
      <rPr>
        <sz val="12"/>
        <color theme="1"/>
        <rFont val="細明體"/>
        <family val="3"/>
        <charset val="136"/>
      </rPr>
      <t>汪蓮玉</t>
    </r>
    <phoneticPr fontId="3" type="noConversion"/>
  </si>
  <si>
    <r>
      <t>600-000042464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</si>
  <si>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600-000042470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</si>
  <si>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 xml:space="preserve">4022.486.79221 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02</t>
    </r>
    <phoneticPr fontId="4" type="noConversion"/>
  </si>
  <si>
    <r>
      <t xml:space="preserve">4022.666.56772 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01</t>
    </r>
    <phoneticPr fontId="4" type="noConversion"/>
  </si>
  <si>
    <r>
      <t>TPOM7250600355Rev.</t>
    </r>
    <r>
      <rPr>
        <sz val="12"/>
        <color theme="1"/>
        <rFont val="細明體"/>
        <family val="3"/>
        <charset val="136"/>
      </rPr>
      <t>：</t>
    </r>
    <r>
      <rPr>
        <sz val="12"/>
        <color theme="1"/>
        <rFont val="Cambria"/>
        <family val="1"/>
      </rPr>
      <t xml:space="preserve">00 </t>
    </r>
    <r>
      <rPr>
        <sz val="12"/>
        <color theme="1"/>
        <rFont val="細明體"/>
        <family val="3"/>
        <charset val="136"/>
      </rPr>
      <t>莊淑評</t>
    </r>
    <phoneticPr fontId="3" type="noConversion"/>
  </si>
  <si>
    <r>
      <t xml:space="preserve">D5ZN10573 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</t>
    </r>
    <phoneticPr fontId="4" type="noConversion"/>
  </si>
  <si>
    <r>
      <t xml:space="preserve">D5ZN11076 </t>
    </r>
    <r>
      <rPr>
        <sz val="12"/>
        <color theme="1"/>
        <rFont val="細明體"/>
        <family val="3"/>
        <charset val="136"/>
      </rPr>
      <t>版本</t>
    </r>
    <r>
      <rPr>
        <sz val="12"/>
        <color theme="1"/>
        <rFont val="Cambria"/>
        <family val="1"/>
      </rPr>
      <t>0</t>
    </r>
    <phoneticPr fontId="4" type="noConversion"/>
  </si>
  <si>
    <r>
      <t>TPOM7250600544Rev.</t>
    </r>
    <r>
      <rPr>
        <sz val="12"/>
        <color theme="1"/>
        <rFont val="細明體"/>
        <family val="3"/>
        <charset val="136"/>
      </rPr>
      <t>：</t>
    </r>
    <r>
      <rPr>
        <sz val="12"/>
        <color theme="1"/>
        <rFont val="Cambria"/>
        <family val="1"/>
      </rPr>
      <t xml:space="preserve">00 </t>
    </r>
    <r>
      <rPr>
        <sz val="12"/>
        <color theme="1"/>
        <rFont val="細明體"/>
        <family val="3"/>
        <charset val="136"/>
      </rPr>
      <t>李璧吟</t>
    </r>
    <phoneticPr fontId="3" type="noConversion"/>
  </si>
  <si>
    <t>20250604-7</t>
  </si>
  <si>
    <t>20250714-1</t>
    <phoneticPr fontId="3" type="noConversion"/>
  </si>
  <si>
    <t>20250604-6</t>
    <phoneticPr fontId="3" type="noConversion"/>
  </si>
  <si>
    <t>20250604-8</t>
  </si>
  <si>
    <t>20250604-9</t>
  </si>
  <si>
    <t>20250604-10</t>
  </si>
  <si>
    <t>20250604-11</t>
  </si>
  <si>
    <t>20250604-12</t>
  </si>
  <si>
    <t>822-06</t>
    <phoneticPr fontId="3" type="noConversion"/>
  </si>
  <si>
    <t>299493</t>
  </si>
  <si>
    <t>TPOM7250301457</t>
  </si>
  <si>
    <t>TPOM7230801190</t>
  </si>
  <si>
    <t>TPOM7230900850</t>
  </si>
  <si>
    <t>TPOM7250100827</t>
  </si>
  <si>
    <t>TPOM7250301183</t>
  </si>
  <si>
    <t>TPOM7241200238</t>
  </si>
  <si>
    <t>TPOM7241100078</t>
  </si>
  <si>
    <t>TPOM7250500312</t>
  </si>
  <si>
    <t>TPOM7250200927</t>
  </si>
  <si>
    <t>TPOM7250301489</t>
  </si>
  <si>
    <r>
      <t xml:space="preserve">4022.666.56793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01</t>
    </r>
    <phoneticPr fontId="4" type="noConversion"/>
  </si>
  <si>
    <r>
      <t>600-000041869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3" type="noConversion"/>
  </si>
  <si>
    <r>
      <t xml:space="preserve">D5ZN11080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0</t>
    </r>
    <phoneticPr fontId="4" type="noConversion"/>
  </si>
  <si>
    <r>
      <t xml:space="preserve">D7ZN10087 </t>
    </r>
    <r>
      <rPr>
        <sz val="12"/>
        <rFont val="細明體"/>
        <family val="3"/>
        <charset val="136"/>
      </rPr>
      <t>版本</t>
    </r>
    <r>
      <rPr>
        <sz val="12"/>
        <rFont val="Cambria"/>
        <family val="1"/>
      </rPr>
      <t>1</t>
    </r>
    <phoneticPr fontId="4" type="noConversion"/>
  </si>
  <si>
    <r>
      <t>4022.673.22971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01</t>
    </r>
    <phoneticPr fontId="3" type="noConversion"/>
  </si>
  <si>
    <r>
      <t>600-000042410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</si>
  <si>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600-000042463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</si>
  <si>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600-000042464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</si>
  <si>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600-000042470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</si>
  <si>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D5ZN10573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</si>
  <si>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D5ZN11076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</si>
  <si>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D5ZN11076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</si>
  <si>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600-000042406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</si>
  <si>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600-000042463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</si>
  <si>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600-000042464</t>
    </r>
    <r>
      <rPr>
        <sz val="12"/>
        <color theme="1"/>
        <rFont val="標楷體"/>
        <family val="4"/>
        <charset val="136"/>
      </rPr>
      <t>版本</t>
    </r>
    <r>
      <rPr>
        <sz val="12"/>
        <color theme="1"/>
        <rFont val="Cambria"/>
        <family val="1"/>
      </rPr>
      <t>0</t>
    </r>
    <phoneticPr fontId="3" type="noConversion"/>
  </si>
  <si>
    <r>
      <t>D7ZN10458</t>
    </r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Cambria"/>
        <family val="1"/>
      </rPr>
      <t>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</si>
</sst>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;[Red]\-&quot;$&quot;#,##0"/>
    <numFmt numFmtId="44" formatCode="_-&quot;$&quot;* #,##0.00_-;\-&quot;$&quot;* #,##0.00_-;_-&quot;$&quot;* &quot;-&quot;??_-;_-@_-"/>
    <numFmt numFmtId="176" formatCode="0_ "/>
    <numFmt numFmtId="177" formatCode="&quot;$&quot;#,##0_);[Red]\(&quot;$&quot;#,##0\)"/>
    <numFmt numFmtId="178" formatCode="#,##0_ ;[Red]\-#,##0\ "/>
    <numFmt numFmtId="179" formatCode="[$-404]aaaa;@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6"/>
      <color indexed="12"/>
      <name val="Comic Sans MS"/>
      <family val="4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1"/>
      <color indexed="12"/>
      <name val="細明體"/>
      <family val="3"/>
      <charset val="136"/>
    </font>
    <font>
      <b/>
      <sz val="11"/>
      <color indexed="12"/>
      <name val="Comic Sans MS"/>
      <family val="4"/>
    </font>
    <font>
      <b/>
      <sz val="12"/>
      <color indexed="12"/>
      <name val="細明體"/>
      <family val="3"/>
      <charset val="136"/>
    </font>
    <font>
      <b/>
      <sz val="12"/>
      <color theme="1"/>
      <name val="Comic Sans MS"/>
      <family val="4"/>
    </font>
    <font>
      <sz val="12"/>
      <name val="Cambria"/>
      <family val="1"/>
    </font>
    <font>
      <sz val="12"/>
      <name val="Courier New"/>
      <family val="3"/>
    </font>
    <font>
      <sz val="12"/>
      <color theme="1"/>
      <name val="Cambria"/>
      <family val="1"/>
    </font>
    <font>
      <sz val="12"/>
      <name val="細明體"/>
      <family val="3"/>
      <charset val="136"/>
    </font>
    <font>
      <b/>
      <sz val="12"/>
      <color indexed="12"/>
      <name val="Cambria"/>
      <family val="1"/>
    </font>
    <font>
      <b/>
      <sz val="16"/>
      <color indexed="12"/>
      <name val="細明體"/>
      <family val="3"/>
      <charset val="136"/>
    </font>
    <font>
      <b/>
      <sz val="11"/>
      <color rgb="FF0000FF"/>
      <name val="Cambria"/>
      <family val="1"/>
    </font>
    <font>
      <b/>
      <sz val="11"/>
      <color rgb="FF0000FF"/>
      <name val="Comic Sans MS"/>
      <family val="4"/>
    </font>
    <font>
      <b/>
      <sz val="12"/>
      <color theme="1"/>
      <name val="Cambria"/>
      <family val="1"/>
    </font>
    <font>
      <sz val="12"/>
      <color theme="1"/>
      <name val="細明體"/>
      <family val="3"/>
      <charset val="136"/>
    </font>
    <font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FF"/>
      </left>
      <right style="hair">
        <color indexed="64"/>
      </right>
      <top/>
      <bottom style="hair">
        <color indexed="64"/>
      </bottom>
      <diagonal/>
    </border>
    <border>
      <left style="thin">
        <color rgb="FF0000FF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FF"/>
      </left>
      <right style="hair">
        <color indexed="64"/>
      </right>
      <top style="hair">
        <color indexed="64"/>
      </top>
      <bottom style="thin">
        <color rgb="FF0000FF"/>
      </bottom>
      <diagonal/>
    </border>
    <border>
      <left style="thin">
        <color rgb="FF0000FF"/>
      </left>
      <right style="hair">
        <color indexed="64"/>
      </right>
      <top style="thin">
        <color rgb="FF0000FF"/>
      </top>
      <bottom/>
      <diagonal/>
    </border>
    <border>
      <left style="thin">
        <color rgb="FF0000FF"/>
      </left>
      <right style="hair">
        <color indexed="64"/>
      </right>
      <top/>
      <bottom style="thin">
        <color rgb="FF0000FF"/>
      </bottom>
      <diagonal/>
    </border>
    <border>
      <left style="hair">
        <color indexed="64"/>
      </left>
      <right/>
      <top/>
      <bottom style="thin">
        <color rgb="FF0000FF"/>
      </bottom>
      <diagonal/>
    </border>
    <border>
      <left style="thin">
        <color rgb="FF0000FF"/>
      </left>
      <right style="hair">
        <color indexed="64"/>
      </right>
      <top style="thin">
        <color rgb="FF0000FF"/>
      </top>
      <bottom style="hair">
        <color rgb="FF0000FF"/>
      </bottom>
      <diagonal/>
    </border>
    <border>
      <left style="hair">
        <color indexed="64"/>
      </left>
      <right/>
      <top style="thin">
        <color rgb="FF0000FF"/>
      </top>
      <bottom/>
      <diagonal/>
    </border>
    <border>
      <left style="hair">
        <color indexed="64"/>
      </left>
      <right/>
      <top style="thin">
        <color rgb="FF0000FF"/>
      </top>
      <bottom style="hair">
        <color rgb="FF0000FF"/>
      </bottom>
      <diagonal/>
    </border>
    <border>
      <left style="hair">
        <color indexed="64"/>
      </left>
      <right/>
      <top style="hair">
        <color indexed="64"/>
      </top>
      <bottom style="thin">
        <color rgb="FF0000FF"/>
      </bottom>
      <diagonal/>
    </border>
    <border>
      <left style="medium">
        <color rgb="FF0000FF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0000FF"/>
      </right>
      <top/>
      <bottom style="hair">
        <color indexed="64"/>
      </bottom>
      <diagonal/>
    </border>
    <border>
      <left style="medium">
        <color rgb="FF0000FF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rgb="FF0000FF"/>
      </right>
      <top style="hair">
        <color indexed="64"/>
      </top>
      <bottom style="hair">
        <color indexed="64"/>
      </bottom>
      <diagonal/>
    </border>
    <border>
      <left style="medium">
        <color rgb="FF0000FF"/>
      </left>
      <right style="hair">
        <color indexed="64"/>
      </right>
      <top style="hair">
        <color indexed="64"/>
      </top>
      <bottom style="medium">
        <color rgb="FF0000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0000FF"/>
      </bottom>
      <diagonal/>
    </border>
    <border>
      <left style="hair">
        <color indexed="64"/>
      </left>
      <right style="medium">
        <color rgb="FF0000FF"/>
      </right>
      <top style="hair">
        <color indexed="64"/>
      </top>
      <bottom style="medium">
        <color rgb="FF0000FF"/>
      </bottom>
      <diagonal/>
    </border>
    <border>
      <left style="medium">
        <color rgb="FF0000FF"/>
      </left>
      <right style="hair">
        <color indexed="64"/>
      </right>
      <top style="medium">
        <color rgb="FF0000FF"/>
      </top>
      <bottom style="medium">
        <color rgb="FF0000FF"/>
      </bottom>
      <diagonal/>
    </border>
    <border>
      <left style="hair">
        <color indexed="64"/>
      </left>
      <right style="hair">
        <color indexed="64"/>
      </right>
      <top style="medium">
        <color rgb="FF0000FF"/>
      </top>
      <bottom style="medium">
        <color rgb="FF0000FF"/>
      </bottom>
      <diagonal/>
    </border>
    <border>
      <left style="hair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hair">
        <color indexed="64"/>
      </right>
      <top style="medium">
        <color rgb="FF0000FF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FF"/>
      </top>
      <bottom style="hair">
        <color indexed="64"/>
      </bottom>
      <diagonal/>
    </border>
    <border>
      <left style="hair">
        <color indexed="64"/>
      </left>
      <right style="medium">
        <color rgb="FF0000FF"/>
      </right>
      <top style="medium">
        <color rgb="FF0000FF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/>
      <right style="thin">
        <color indexed="64"/>
      </right>
      <top style="thin">
        <color indexed="64"/>
      </top>
      <bottom style="medium">
        <color rgb="FF0000F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ashed">
        <color rgb="FF0000FF"/>
      </top>
      <bottom style="thin">
        <color indexed="64"/>
      </bottom>
      <diagonal/>
    </border>
    <border>
      <left style="thin">
        <color indexed="64"/>
      </left>
      <right style="dashed">
        <color rgb="FF0000FF"/>
      </right>
      <top style="dashed">
        <color rgb="FF0000FF"/>
      </top>
      <bottom style="thin">
        <color indexed="64"/>
      </bottom>
      <diagonal/>
    </border>
    <border>
      <left style="thin">
        <color indexed="64"/>
      </left>
      <right style="dashed">
        <color rgb="FF0000F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rgb="FF0000FF"/>
      </bottom>
      <diagonal/>
    </border>
    <border>
      <left style="thin">
        <color indexed="64"/>
      </left>
      <right style="dashed">
        <color rgb="FF0000FF"/>
      </right>
      <top style="thin">
        <color indexed="64"/>
      </top>
      <bottom style="dashed">
        <color rgb="FF0000FF"/>
      </bottom>
      <diagonal/>
    </border>
    <border>
      <left/>
      <right style="thin">
        <color indexed="64"/>
      </right>
      <top style="dashed">
        <color rgb="FF0000F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rgb="FF0000FF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dashed">
        <color rgb="FF0000FF"/>
      </right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dashed">
        <color rgb="FF0000FF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dashed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dashed">
        <color rgb="FF0000FF"/>
      </bottom>
      <diagonal/>
    </border>
    <border>
      <left style="thin">
        <color indexed="64"/>
      </left>
      <right style="dashed">
        <color rgb="FF0000FF"/>
      </right>
      <top style="medium">
        <color rgb="FF0000FF"/>
      </top>
      <bottom style="dashed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/>
      <right style="thin">
        <color indexed="64"/>
      </right>
      <top style="medium">
        <color rgb="FF0000FF"/>
      </top>
      <bottom/>
      <diagonal/>
    </border>
    <border>
      <left/>
      <right style="thin">
        <color indexed="64"/>
      </right>
      <top style="dashed">
        <color rgb="FF0000FF"/>
      </top>
      <bottom/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/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/>
      <diagonal/>
    </border>
    <border>
      <left style="thin">
        <color indexed="64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/>
      <right style="thin">
        <color indexed="64"/>
      </right>
      <top style="dashed">
        <color theme="1"/>
      </top>
      <bottom style="dashed">
        <color theme="1"/>
      </bottom>
      <diagonal/>
    </border>
    <border>
      <left style="thin">
        <color indexed="64"/>
      </left>
      <right style="dashed">
        <color theme="1"/>
      </right>
      <top/>
      <bottom/>
      <diagonal/>
    </border>
    <border>
      <left style="dashed">
        <color theme="1"/>
      </left>
      <right style="thin">
        <color indexed="64"/>
      </right>
      <top style="dashed">
        <color theme="1"/>
      </top>
      <bottom style="dashed">
        <color theme="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00FF"/>
      </top>
      <bottom/>
      <diagonal/>
    </border>
    <border>
      <left style="thin">
        <color rgb="FF0070C0"/>
      </left>
      <right/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00FF"/>
      </bottom>
      <diagonal/>
    </border>
    <border>
      <left style="thin">
        <color rgb="FF0070C0"/>
      </left>
      <right/>
      <top style="thin">
        <color rgb="FF0070C0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medium">
        <color rgb="FF0000FF"/>
      </left>
      <right style="thin">
        <color theme="1"/>
      </right>
      <top style="thin">
        <color theme="1"/>
      </top>
      <bottom style="medium">
        <color rgb="FF0000FF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medium">
        <color rgb="FF0000FF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medium">
        <color rgb="FF0000FF"/>
      </right>
      <top style="medium">
        <color rgb="FF0000FF"/>
      </top>
      <bottom/>
      <diagonal/>
    </border>
    <border>
      <left style="hair">
        <color theme="1"/>
      </left>
      <right style="medium">
        <color rgb="FF0000FF"/>
      </right>
      <top style="hair">
        <color theme="1"/>
      </top>
      <bottom style="hair">
        <color theme="1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thin">
        <color theme="1"/>
      </right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 style="thin">
        <color theme="1"/>
      </left>
      <right style="thin">
        <color theme="1"/>
      </right>
      <top style="medium">
        <color rgb="FF0000FF"/>
      </top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rgb="FF0000FF"/>
      </right>
      <top style="hair">
        <color rgb="FF0000FF"/>
      </top>
      <bottom/>
      <diagonal/>
    </border>
    <border>
      <left/>
      <right style="hair">
        <color rgb="FF0000FF"/>
      </right>
      <top style="hair">
        <color theme="1"/>
      </top>
      <bottom style="hair">
        <color rgb="FF0000FF"/>
      </bottom>
      <diagonal/>
    </border>
    <border>
      <left style="medium">
        <color rgb="FF0000FF"/>
      </left>
      <right style="hair">
        <color theme="1"/>
      </right>
      <top style="hair">
        <color theme="1"/>
      </top>
      <bottom style="medium">
        <color rgb="FF0000FF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00FF"/>
      </bottom>
      <diagonal/>
    </border>
    <border>
      <left style="hair">
        <color theme="1"/>
      </left>
      <right style="medium">
        <color rgb="FF0000FF"/>
      </right>
      <top style="hair">
        <color theme="1"/>
      </top>
      <bottom style="medium">
        <color rgb="FF0000FF"/>
      </bottom>
      <diagonal/>
    </border>
    <border>
      <left style="medium">
        <color rgb="FF0000FF"/>
      </left>
      <right style="hair">
        <color theme="1"/>
      </right>
      <top style="medium">
        <color rgb="FF0000FF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rgb="FF0000FF"/>
      </top>
      <bottom style="hair">
        <color theme="1"/>
      </bottom>
      <diagonal/>
    </border>
    <border>
      <left style="hair">
        <color theme="1"/>
      </left>
      <right style="medium">
        <color rgb="FF0000FF"/>
      </right>
      <top style="medium">
        <color rgb="FF0000FF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medium">
        <color rgb="FF0000FF"/>
      </bottom>
      <diagonal/>
    </border>
    <border>
      <left style="medium">
        <color rgb="FF0000FF"/>
      </left>
      <right style="thin">
        <color rgb="FF0070C0"/>
      </right>
      <top style="medium">
        <color rgb="FF0000FF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00FF"/>
      </top>
      <bottom style="thin">
        <color rgb="FF0070C0"/>
      </bottom>
      <diagonal/>
    </border>
    <border>
      <left style="medium">
        <color rgb="FF0000FF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00FF"/>
      </left>
      <right style="thin">
        <color rgb="FF0070C0"/>
      </right>
      <top style="thin">
        <color rgb="FF0070C0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medium">
        <color rgb="FF0000FF"/>
      </bottom>
      <diagonal/>
    </border>
    <border>
      <left style="medium">
        <color rgb="FF0000FF"/>
      </left>
      <right style="thin">
        <color rgb="FF0070C0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rgb="FF00B0F0"/>
      </right>
      <top/>
      <bottom style="thin">
        <color rgb="FF00B0F0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/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70C0"/>
      </right>
      <top/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394">
    <xf numFmtId="0" fontId="0" fillId="0" borderId="0" xfId="0">
      <alignment vertical="center"/>
    </xf>
    <xf numFmtId="0" fontId="0" fillId="2" borderId="0" xfId="0" applyFill="1">
      <alignment vertical="center"/>
    </xf>
    <xf numFmtId="49" fontId="9" fillId="2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6" fontId="9" fillId="2" borderId="1" xfId="2" applyNumberFormat="1" applyFont="1" applyFill="1" applyBorder="1" applyAlignment="1">
      <alignment horizontal="right" vertical="center"/>
    </xf>
    <xf numFmtId="6" fontId="9" fillId="2" borderId="1" xfId="1" applyNumberFormat="1" applyFont="1" applyFill="1" applyBorder="1" applyAlignment="1">
      <alignment horizontal="right" vertical="center"/>
    </xf>
    <xf numFmtId="0" fontId="10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>
      <alignment vertical="center"/>
    </xf>
    <xf numFmtId="0" fontId="1" fillId="2" borderId="0" xfId="1" applyFill="1">
      <alignment vertical="center"/>
    </xf>
    <xf numFmtId="0" fontId="8" fillId="2" borderId="0" xfId="0" applyFont="1" applyFill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49" fontId="9" fillId="2" borderId="1" xfId="1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9" fillId="2" borderId="2" xfId="1" applyFont="1" applyFill="1" applyBorder="1" applyAlignment="1">
      <alignment horizontal="center" vertical="center"/>
    </xf>
    <xf numFmtId="6" fontId="9" fillId="2" borderId="2" xfId="2" applyNumberFormat="1" applyFont="1" applyFill="1" applyBorder="1" applyAlignment="1">
      <alignment horizontal="right" vertical="center"/>
    </xf>
    <xf numFmtId="6" fontId="9" fillId="2" borderId="2" xfId="1" applyNumberFormat="1" applyFont="1" applyFill="1" applyBorder="1" applyAlignment="1">
      <alignment horizontal="right" vertical="center"/>
    </xf>
    <xf numFmtId="49" fontId="9" fillId="2" borderId="2" xfId="1" applyNumberFormat="1" applyFont="1" applyFill="1" applyBorder="1" applyAlignment="1">
      <alignment horizontal="left" vertical="center"/>
    </xf>
    <xf numFmtId="49" fontId="9" fillId="2" borderId="2" xfId="1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2" borderId="3" xfId="1" applyFont="1" applyFill="1" applyBorder="1" applyAlignment="1">
      <alignment vertical="center"/>
    </xf>
    <xf numFmtId="0" fontId="9" fillId="2" borderId="4" xfId="1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vertical="center"/>
    </xf>
    <xf numFmtId="49" fontId="9" fillId="2" borderId="5" xfId="1" applyNumberFormat="1" applyFont="1" applyFill="1" applyBorder="1" applyAlignment="1">
      <alignment horizontal="center" vertical="center"/>
    </xf>
    <xf numFmtId="49" fontId="9" fillId="2" borderId="6" xfId="1" applyNumberFormat="1" applyFont="1" applyFill="1" applyBorder="1" applyAlignment="1">
      <alignment horizontal="center" vertical="center"/>
    </xf>
    <xf numFmtId="49" fontId="9" fillId="2" borderId="7" xfId="1" applyNumberFormat="1" applyFont="1" applyFill="1" applyBorder="1" applyAlignment="1">
      <alignment horizontal="center" vertical="center"/>
    </xf>
    <xf numFmtId="49" fontId="9" fillId="2" borderId="9" xfId="1" applyNumberFormat="1" applyFont="1" applyFill="1" applyBorder="1" applyAlignment="1">
      <alignment horizontal="center" vertical="center"/>
    </xf>
    <xf numFmtId="49" fontId="9" fillId="2" borderId="11" xfId="1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vertical="center"/>
    </xf>
    <xf numFmtId="0" fontId="9" fillId="2" borderId="14" xfId="1" applyFont="1" applyFill="1" applyBorder="1" applyAlignment="1">
      <alignment vertical="center"/>
    </xf>
    <xf numFmtId="0" fontId="9" fillId="2" borderId="15" xfId="1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9" fillId="2" borderId="19" xfId="1" applyFont="1" applyFill="1" applyBorder="1" applyAlignment="1">
      <alignment horizontal="left" vertical="center"/>
    </xf>
    <xf numFmtId="0" fontId="9" fillId="2" borderId="20" xfId="1" applyFont="1" applyFill="1" applyBorder="1" applyAlignment="1">
      <alignment horizontal="center" vertical="center"/>
    </xf>
    <xf numFmtId="6" fontId="9" fillId="2" borderId="20" xfId="2" applyNumberFormat="1" applyFont="1" applyFill="1" applyBorder="1" applyAlignment="1">
      <alignment horizontal="right" vertical="center"/>
    </xf>
    <xf numFmtId="6" fontId="9" fillId="2" borderId="20" xfId="1" applyNumberFormat="1" applyFont="1" applyFill="1" applyBorder="1" applyAlignment="1">
      <alignment horizontal="right" vertical="center"/>
    </xf>
    <xf numFmtId="49" fontId="9" fillId="2" borderId="20" xfId="1" applyNumberFormat="1" applyFont="1" applyFill="1" applyBorder="1" applyAlignment="1">
      <alignment horizontal="left" vertical="center"/>
    </xf>
    <xf numFmtId="49" fontId="9" fillId="2" borderId="20" xfId="1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left" vertical="center"/>
    </xf>
    <xf numFmtId="0" fontId="11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176" fontId="6" fillId="2" borderId="2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 indent="1"/>
    </xf>
    <xf numFmtId="0" fontId="9" fillId="2" borderId="25" xfId="1" applyFont="1" applyFill="1" applyBorder="1" applyAlignment="1">
      <alignment horizontal="left" vertical="center"/>
    </xf>
    <xf numFmtId="0" fontId="9" fillId="2" borderId="26" xfId="1" applyFont="1" applyFill="1" applyBorder="1" applyAlignment="1">
      <alignment horizontal="center" vertical="center"/>
    </xf>
    <xf numFmtId="6" fontId="9" fillId="2" borderId="26" xfId="2" applyNumberFormat="1" applyFont="1" applyFill="1" applyBorder="1" applyAlignment="1">
      <alignment horizontal="right" vertical="center"/>
    </xf>
    <xf numFmtId="49" fontId="9" fillId="2" borderId="26" xfId="1" applyNumberFormat="1" applyFont="1" applyFill="1" applyBorder="1" applyAlignment="1">
      <alignment horizontal="left" vertical="center"/>
    </xf>
    <xf numFmtId="49" fontId="9" fillId="2" borderId="26" xfId="1" applyNumberFormat="1" applyFont="1" applyFill="1" applyBorder="1" applyAlignment="1">
      <alignment horizontal="center" vertical="center"/>
    </xf>
    <xf numFmtId="49" fontId="9" fillId="2" borderId="26" xfId="0" applyNumberFormat="1" applyFont="1" applyFill="1" applyBorder="1" applyAlignment="1">
      <alignment horizontal="center" vertical="center"/>
    </xf>
    <xf numFmtId="49" fontId="12" fillId="2" borderId="26" xfId="0" applyNumberFormat="1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9" fillId="2" borderId="28" xfId="1" applyFont="1" applyFill="1" applyBorder="1" applyAlignment="1">
      <alignment vertical="center"/>
    </xf>
    <xf numFmtId="0" fontId="9" fillId="2" borderId="28" xfId="1" applyFont="1" applyFill="1" applyBorder="1" applyAlignment="1">
      <alignment horizontal="left" vertical="center"/>
    </xf>
    <xf numFmtId="49" fontId="9" fillId="2" borderId="28" xfId="1" applyNumberFormat="1" applyFont="1" applyFill="1" applyBorder="1" applyAlignment="1">
      <alignment horizontal="left" vertical="center"/>
    </xf>
    <xf numFmtId="49" fontId="9" fillId="2" borderId="28" xfId="0" applyNumberFormat="1" applyFont="1" applyFill="1" applyBorder="1" applyAlignment="1">
      <alignment horizontal="center" vertical="center"/>
    </xf>
    <xf numFmtId="49" fontId="12" fillId="2" borderId="28" xfId="0" applyNumberFormat="1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left" vertical="center"/>
    </xf>
    <xf numFmtId="0" fontId="10" fillId="2" borderId="28" xfId="1" applyFont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49" fontId="9" fillId="2" borderId="28" xfId="0" applyNumberFormat="1" applyFont="1" applyFill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" fillId="2" borderId="28" xfId="1" applyFont="1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2" borderId="28" xfId="0" applyFill="1" applyBorder="1" applyAlignment="1">
      <alignment horizontal="left" vertical="center"/>
    </xf>
    <xf numFmtId="0" fontId="1" fillId="2" borderId="28" xfId="1" applyFont="1" applyFill="1" applyBorder="1">
      <alignment vertical="center"/>
    </xf>
    <xf numFmtId="0" fontId="1" fillId="2" borderId="28" xfId="1" applyFill="1" applyBorder="1">
      <alignment vertical="center"/>
    </xf>
    <xf numFmtId="0" fontId="0" fillId="2" borderId="28" xfId="0" applyFill="1" applyBorder="1">
      <alignment vertical="center"/>
    </xf>
    <xf numFmtId="0" fontId="7" fillId="2" borderId="30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left" vertical="center" indent="1"/>
    </xf>
    <xf numFmtId="0" fontId="8" fillId="2" borderId="30" xfId="0" applyFont="1" applyFill="1" applyBorder="1" applyAlignment="1">
      <alignment horizontal="center" vertical="center"/>
    </xf>
    <xf numFmtId="0" fontId="1" fillId="2" borderId="31" xfId="1" applyFont="1" applyFill="1" applyBorder="1" applyAlignment="1">
      <alignment vertical="center"/>
    </xf>
    <xf numFmtId="0" fontId="1" fillId="2" borderId="31" xfId="1" applyFont="1" applyFill="1" applyBorder="1">
      <alignment vertical="center"/>
    </xf>
    <xf numFmtId="177" fontId="9" fillId="2" borderId="28" xfId="2" applyNumberFormat="1" applyFont="1" applyFill="1" applyBorder="1" applyAlignment="1">
      <alignment horizontal="right" vertical="center"/>
    </xf>
    <xf numFmtId="177" fontId="9" fillId="2" borderId="28" xfId="1" applyNumberFormat="1" applyFont="1" applyFill="1" applyBorder="1" applyAlignment="1">
      <alignment horizontal="right" vertical="center"/>
    </xf>
    <xf numFmtId="49" fontId="9" fillId="2" borderId="31" xfId="0" applyNumberFormat="1" applyFont="1" applyFill="1" applyBorder="1" applyAlignment="1">
      <alignment horizontal="center" vertical="center"/>
    </xf>
    <xf numFmtId="49" fontId="9" fillId="2" borderId="33" xfId="1" applyNumberFormat="1" applyFont="1" applyFill="1" applyBorder="1" applyAlignment="1">
      <alignment horizontal="left" vertical="center"/>
    </xf>
    <xf numFmtId="0" fontId="1" fillId="2" borderId="30" xfId="1" applyFill="1" applyBorder="1" applyAlignment="1">
      <alignment vertical="center"/>
    </xf>
    <xf numFmtId="0" fontId="1" fillId="2" borderId="35" xfId="1" applyFill="1" applyBorder="1" applyAlignment="1">
      <alignment vertical="center"/>
    </xf>
    <xf numFmtId="49" fontId="9" fillId="3" borderId="32" xfId="0" applyNumberFormat="1" applyFont="1" applyFill="1" applyBorder="1" applyAlignment="1">
      <alignment horizontal="left" vertical="center"/>
    </xf>
    <xf numFmtId="6" fontId="9" fillId="3" borderId="32" xfId="0" applyNumberFormat="1" applyFont="1" applyFill="1" applyBorder="1" applyAlignment="1">
      <alignment horizontal="right" vertical="center"/>
    </xf>
    <xf numFmtId="0" fontId="1" fillId="2" borderId="32" xfId="1" applyFill="1" applyBorder="1" applyAlignment="1">
      <alignment vertical="center"/>
    </xf>
    <xf numFmtId="49" fontId="9" fillId="2" borderId="37" xfId="1" applyNumberFormat="1" applyFont="1" applyFill="1" applyBorder="1" applyAlignment="1">
      <alignment horizontal="center" vertical="center"/>
    </xf>
    <xf numFmtId="177" fontId="11" fillId="2" borderId="28" xfId="1" applyNumberFormat="1" applyFont="1" applyFill="1" applyBorder="1" applyAlignment="1">
      <alignment horizontal="right" vertical="center"/>
    </xf>
    <xf numFmtId="0" fontId="9" fillId="2" borderId="28" xfId="1" applyFont="1" applyFill="1" applyBorder="1" applyAlignment="1">
      <alignment horizontal="right" vertical="center"/>
    </xf>
    <xf numFmtId="178" fontId="9" fillId="3" borderId="32" xfId="0" applyNumberFormat="1" applyFont="1" applyFill="1" applyBorder="1" applyAlignment="1">
      <alignment horizontal="right" vertical="center"/>
    </xf>
    <xf numFmtId="0" fontId="9" fillId="2" borderId="36" xfId="1" applyFont="1" applyFill="1" applyBorder="1" applyAlignment="1">
      <alignment horizontal="right" vertical="center"/>
    </xf>
    <xf numFmtId="49" fontId="9" fillId="3" borderId="37" xfId="0" applyNumberFormat="1" applyFont="1" applyFill="1" applyBorder="1" applyAlignment="1">
      <alignment horizontal="left" vertical="center"/>
    </xf>
    <xf numFmtId="178" fontId="9" fillId="3" borderId="37" xfId="0" applyNumberFormat="1" applyFont="1" applyFill="1" applyBorder="1" applyAlignment="1">
      <alignment horizontal="right" vertical="center"/>
    </xf>
    <xf numFmtId="49" fontId="9" fillId="2" borderId="30" xfId="1" applyNumberFormat="1" applyFont="1" applyFill="1" applyBorder="1" applyAlignment="1">
      <alignment horizontal="left" vertical="center"/>
    </xf>
    <xf numFmtId="0" fontId="0" fillId="2" borderId="30" xfId="0" applyFill="1" applyBorder="1" applyAlignment="1">
      <alignment vertical="center"/>
    </xf>
    <xf numFmtId="0" fontId="0" fillId="2" borderId="30" xfId="0" applyFill="1" applyBorder="1" applyAlignment="1">
      <alignment horizontal="left" vertical="center"/>
    </xf>
    <xf numFmtId="0" fontId="9" fillId="2" borderId="38" xfId="1" applyFont="1" applyFill="1" applyBorder="1" applyAlignment="1">
      <alignment horizontal="left" vertical="center"/>
    </xf>
    <xf numFmtId="0" fontId="9" fillId="2" borderId="38" xfId="1" applyFont="1" applyFill="1" applyBorder="1" applyAlignment="1">
      <alignment horizontal="right" vertical="center"/>
    </xf>
    <xf numFmtId="49" fontId="9" fillId="2" borderId="38" xfId="1" applyNumberFormat="1" applyFont="1" applyFill="1" applyBorder="1" applyAlignment="1">
      <alignment horizontal="left" vertical="center"/>
    </xf>
    <xf numFmtId="49" fontId="9" fillId="2" borderId="29" xfId="1" applyNumberFormat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vertical="center"/>
    </xf>
    <xf numFmtId="0" fontId="9" fillId="2" borderId="30" xfId="1" applyFont="1" applyFill="1" applyBorder="1" applyAlignment="1">
      <alignment horizontal="left" vertical="center"/>
    </xf>
    <xf numFmtId="0" fontId="9" fillId="2" borderId="30" xfId="1" applyFont="1" applyFill="1" applyBorder="1" applyAlignment="1">
      <alignment horizontal="right" vertical="center"/>
    </xf>
    <xf numFmtId="177" fontId="9" fillId="2" borderId="30" xfId="2" applyNumberFormat="1" applyFont="1" applyFill="1" applyBorder="1" applyAlignment="1">
      <alignment horizontal="right" vertical="center"/>
    </xf>
    <xf numFmtId="177" fontId="9" fillId="2" borderId="30" xfId="1" applyNumberFormat="1" applyFont="1" applyFill="1" applyBorder="1" applyAlignment="1">
      <alignment horizontal="right" vertical="center"/>
    </xf>
    <xf numFmtId="49" fontId="9" fillId="2" borderId="30" xfId="0" applyNumberFormat="1" applyFont="1" applyFill="1" applyBorder="1" applyAlignment="1">
      <alignment horizontal="center" vertical="center"/>
    </xf>
    <xf numFmtId="49" fontId="9" fillId="2" borderId="39" xfId="1" applyNumberFormat="1" applyFont="1" applyFill="1" applyBorder="1" applyAlignment="1">
      <alignment horizontal="center" vertical="center"/>
    </xf>
    <xf numFmtId="0" fontId="9" fillId="2" borderId="38" xfId="1" applyFont="1" applyFill="1" applyBorder="1" applyAlignment="1">
      <alignment vertical="center"/>
    </xf>
    <xf numFmtId="177" fontId="9" fillId="2" borderId="38" xfId="2" applyNumberFormat="1" applyFont="1" applyFill="1" applyBorder="1" applyAlignment="1">
      <alignment horizontal="right" vertical="center"/>
    </xf>
    <xf numFmtId="177" fontId="9" fillId="2" borderId="38" xfId="1" applyNumberFormat="1" applyFont="1" applyFill="1" applyBorder="1" applyAlignment="1">
      <alignment horizontal="right" vertical="center"/>
    </xf>
    <xf numFmtId="49" fontId="9" fillId="2" borderId="38" xfId="0" applyNumberFormat="1" applyFont="1" applyFill="1" applyBorder="1" applyAlignment="1">
      <alignment horizontal="center" vertical="center"/>
    </xf>
    <xf numFmtId="49" fontId="9" fillId="2" borderId="40" xfId="1" applyNumberFormat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vertical="center"/>
    </xf>
    <xf numFmtId="0" fontId="9" fillId="2" borderId="36" xfId="1" applyFont="1" applyFill="1" applyBorder="1" applyAlignment="1">
      <alignment horizontal="left" vertical="center"/>
    </xf>
    <xf numFmtId="177" fontId="9" fillId="2" borderId="36" xfId="2" applyNumberFormat="1" applyFont="1" applyFill="1" applyBorder="1" applyAlignment="1">
      <alignment horizontal="right" vertical="center"/>
    </xf>
    <xf numFmtId="177" fontId="9" fillId="2" borderId="36" xfId="1" applyNumberFormat="1" applyFont="1" applyFill="1" applyBorder="1" applyAlignment="1">
      <alignment horizontal="right" vertical="center"/>
    </xf>
    <xf numFmtId="49" fontId="9" fillId="2" borderId="36" xfId="1" applyNumberFormat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vertical="center"/>
    </xf>
    <xf numFmtId="0" fontId="1" fillId="2" borderId="0" xfId="1" applyFill="1" applyBorder="1" applyAlignment="1">
      <alignment vertical="center"/>
    </xf>
    <xf numFmtId="0" fontId="8" fillId="2" borderId="28" xfId="0" applyFont="1" applyFill="1" applyBorder="1" applyAlignment="1">
      <alignment horizontal="center" vertical="center"/>
    </xf>
    <xf numFmtId="0" fontId="9" fillId="2" borderId="28" xfId="1" applyFont="1" applyFill="1" applyBorder="1" applyAlignment="1">
      <alignment horizontal="center" vertical="center"/>
    </xf>
    <xf numFmtId="6" fontId="9" fillId="2" borderId="28" xfId="2" applyNumberFormat="1" applyFont="1" applyFill="1" applyBorder="1" applyAlignment="1">
      <alignment horizontal="right" vertical="center"/>
    </xf>
    <xf numFmtId="6" fontId="9" fillId="2" borderId="28" xfId="1" applyNumberFormat="1" applyFont="1" applyFill="1" applyBorder="1" applyAlignment="1">
      <alignment horizontal="right" vertical="center"/>
    </xf>
    <xf numFmtId="0" fontId="12" fillId="2" borderId="28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2" borderId="28" xfId="1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6" fontId="9" fillId="2" borderId="31" xfId="2" applyNumberFormat="1" applyFont="1" applyFill="1" applyBorder="1" applyAlignment="1">
      <alignment horizontal="right" vertical="center"/>
    </xf>
    <xf numFmtId="0" fontId="14" fillId="2" borderId="40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176" fontId="6" fillId="2" borderId="33" xfId="0" applyNumberFormat="1" applyFont="1" applyFill="1" applyBorder="1" applyAlignment="1">
      <alignment horizontal="center" vertical="center"/>
    </xf>
    <xf numFmtId="0" fontId="9" fillId="2" borderId="44" xfId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left" vertical="center" indent="1"/>
    </xf>
    <xf numFmtId="0" fontId="8" fillId="2" borderId="33" xfId="0" applyFont="1" applyFill="1" applyBorder="1" applyAlignment="1">
      <alignment horizontal="center" vertical="center"/>
    </xf>
    <xf numFmtId="6" fontId="9" fillId="2" borderId="30" xfId="1" applyNumberFormat="1" applyFont="1" applyFill="1" applyBorder="1" applyAlignment="1">
      <alignment horizontal="right" vertical="center"/>
    </xf>
    <xf numFmtId="0" fontId="10" fillId="2" borderId="30" xfId="1" applyFont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43" xfId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31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1" fillId="2" borderId="49" xfId="1" applyFont="1" applyFill="1" applyBorder="1" applyAlignment="1">
      <alignment vertical="center"/>
    </xf>
    <xf numFmtId="0" fontId="9" fillId="2" borderId="50" xfId="1" applyFont="1" applyFill="1" applyBorder="1" applyAlignment="1">
      <alignment vertical="center"/>
    </xf>
    <xf numFmtId="0" fontId="12" fillId="2" borderId="50" xfId="1" applyFont="1" applyFill="1" applyBorder="1" applyAlignment="1">
      <alignment horizontal="left" vertical="center" wrapText="1"/>
    </xf>
    <xf numFmtId="0" fontId="9" fillId="2" borderId="51" xfId="1" applyFont="1" applyFill="1" applyBorder="1" applyAlignment="1">
      <alignment horizontal="center" vertical="center"/>
    </xf>
    <xf numFmtId="6" fontId="9" fillId="2" borderId="52" xfId="2" applyNumberFormat="1" applyFont="1" applyFill="1" applyBorder="1" applyAlignment="1">
      <alignment horizontal="right" vertical="center"/>
    </xf>
    <xf numFmtId="6" fontId="9" fillId="2" borderId="50" xfId="1" applyNumberFormat="1" applyFont="1" applyFill="1" applyBorder="1" applyAlignment="1">
      <alignment horizontal="right" vertical="center"/>
    </xf>
    <xf numFmtId="49" fontId="9" fillId="2" borderId="50" xfId="1" applyNumberFormat="1" applyFont="1" applyFill="1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49" fontId="9" fillId="2" borderId="50" xfId="0" applyNumberFormat="1" applyFont="1" applyFill="1" applyBorder="1" applyAlignment="1">
      <alignment horizontal="center" vertical="center"/>
    </xf>
    <xf numFmtId="49" fontId="9" fillId="2" borderId="50" xfId="0" applyNumberFormat="1" applyFont="1" applyFill="1" applyBorder="1" applyAlignment="1">
      <alignment horizontal="left" vertical="center"/>
    </xf>
    <xf numFmtId="0" fontId="12" fillId="2" borderId="54" xfId="0" applyFont="1" applyFill="1" applyBorder="1" applyAlignment="1">
      <alignment horizontal="left" vertical="center"/>
    </xf>
    <xf numFmtId="0" fontId="11" fillId="2" borderId="55" xfId="1" applyFont="1" applyFill="1" applyBorder="1" applyAlignment="1">
      <alignment vertical="center"/>
    </xf>
    <xf numFmtId="0" fontId="12" fillId="2" borderId="56" xfId="0" applyFont="1" applyFill="1" applyBorder="1" applyAlignment="1">
      <alignment horizontal="left" vertical="center"/>
    </xf>
    <xf numFmtId="0" fontId="11" fillId="2" borderId="57" xfId="1" applyFont="1" applyFill="1" applyBorder="1" applyAlignment="1">
      <alignment vertical="center"/>
    </xf>
    <xf numFmtId="0" fontId="12" fillId="2" borderId="38" xfId="1" applyFont="1" applyFill="1" applyBorder="1" applyAlignment="1">
      <alignment horizontal="left" vertical="center" wrapText="1"/>
    </xf>
    <xf numFmtId="0" fontId="9" fillId="2" borderId="58" xfId="1" applyFont="1" applyFill="1" applyBorder="1" applyAlignment="1">
      <alignment horizontal="center" vertical="center"/>
    </xf>
    <xf numFmtId="6" fontId="9" fillId="2" borderId="39" xfId="2" applyNumberFormat="1" applyFont="1" applyFill="1" applyBorder="1" applyAlignment="1">
      <alignment horizontal="right" vertical="center"/>
    </xf>
    <xf numFmtId="6" fontId="9" fillId="2" borderId="38" xfId="1" applyNumberFormat="1" applyFont="1" applyFill="1" applyBorder="1" applyAlignment="1">
      <alignment horizontal="right" vertical="center"/>
    </xf>
    <xf numFmtId="0" fontId="0" fillId="0" borderId="59" xfId="0" applyBorder="1" applyAlignment="1">
      <alignment horizontal="center" vertical="center"/>
    </xf>
    <xf numFmtId="49" fontId="9" fillId="2" borderId="38" xfId="0" applyNumberFormat="1" applyFont="1" applyFill="1" applyBorder="1" applyAlignment="1">
      <alignment horizontal="left" vertical="center"/>
    </xf>
    <xf numFmtId="0" fontId="12" fillId="2" borderId="60" xfId="0" applyFont="1" applyFill="1" applyBorder="1" applyAlignment="1">
      <alignment horizontal="left" vertical="center"/>
    </xf>
    <xf numFmtId="0" fontId="10" fillId="2" borderId="29" xfId="1" applyFont="1" applyFill="1" applyBorder="1" applyAlignment="1">
      <alignment vertical="center"/>
    </xf>
    <xf numFmtId="0" fontId="1" fillId="2" borderId="30" xfId="1" applyFill="1" applyBorder="1">
      <alignment vertical="center"/>
    </xf>
    <xf numFmtId="0" fontId="1" fillId="2" borderId="30" xfId="1" applyFont="1" applyFill="1" applyBorder="1">
      <alignment vertical="center"/>
    </xf>
    <xf numFmtId="0" fontId="11" fillId="2" borderId="30" xfId="0" applyFont="1" applyFill="1" applyBorder="1" applyAlignment="1">
      <alignment horizontal="left" vertical="center"/>
    </xf>
    <xf numFmtId="0" fontId="0" fillId="2" borderId="30" xfId="0" applyFill="1" applyBorder="1">
      <alignment vertical="center"/>
    </xf>
    <xf numFmtId="0" fontId="9" fillId="2" borderId="61" xfId="1" applyFont="1" applyFill="1" applyBorder="1" applyAlignment="1">
      <alignment vertical="center"/>
    </xf>
    <xf numFmtId="0" fontId="9" fillId="2" borderId="62" xfId="1" applyFont="1" applyFill="1" applyBorder="1" applyAlignment="1">
      <alignment vertical="center"/>
    </xf>
    <xf numFmtId="0" fontId="12" fillId="2" borderId="62" xfId="1" applyFont="1" applyFill="1" applyBorder="1" applyAlignment="1">
      <alignment horizontal="left" vertical="center"/>
    </xf>
    <xf numFmtId="0" fontId="9" fillId="2" borderId="63" xfId="1" applyFont="1" applyFill="1" applyBorder="1" applyAlignment="1">
      <alignment horizontal="center" vertical="center"/>
    </xf>
    <xf numFmtId="49" fontId="12" fillId="2" borderId="50" xfId="0" applyNumberFormat="1" applyFont="1" applyFill="1" applyBorder="1" applyAlignment="1">
      <alignment horizontal="left" vertical="center"/>
    </xf>
    <xf numFmtId="0" fontId="11" fillId="2" borderId="64" xfId="1" applyFont="1" applyFill="1" applyBorder="1" applyAlignment="1">
      <alignment vertical="center"/>
    </xf>
    <xf numFmtId="0" fontId="9" fillId="2" borderId="59" xfId="1" applyFont="1" applyFill="1" applyBorder="1" applyAlignment="1">
      <alignment vertical="center"/>
    </xf>
    <xf numFmtId="0" fontId="12" fillId="2" borderId="59" xfId="1" applyFont="1" applyFill="1" applyBorder="1" applyAlignment="1">
      <alignment horizontal="left" vertical="center" wrapText="1"/>
    </xf>
    <xf numFmtId="0" fontId="9" fillId="2" borderId="59" xfId="1" applyFont="1" applyFill="1" applyBorder="1" applyAlignment="1">
      <alignment horizontal="center" vertical="center"/>
    </xf>
    <xf numFmtId="6" fontId="9" fillId="2" borderId="38" xfId="2" applyNumberFormat="1" applyFont="1" applyFill="1" applyBorder="1" applyAlignment="1">
      <alignment horizontal="right" vertical="center"/>
    </xf>
    <xf numFmtId="49" fontId="12" fillId="2" borderId="38" xfId="0" applyNumberFormat="1" applyFont="1" applyFill="1" applyBorder="1" applyAlignment="1">
      <alignment horizontal="left" vertical="center"/>
    </xf>
    <xf numFmtId="0" fontId="11" fillId="2" borderId="55" xfId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2" borderId="66" xfId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1" fillId="2" borderId="67" xfId="1" applyFill="1" applyBorder="1" applyAlignment="1">
      <alignment horizontal="center" vertical="center"/>
    </xf>
    <xf numFmtId="0" fontId="1" fillId="2" borderId="55" xfId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1" fillId="2" borderId="29" xfId="1" applyFill="1" applyBorder="1">
      <alignment vertical="center"/>
    </xf>
    <xf numFmtId="0" fontId="11" fillId="2" borderId="68" xfId="1" applyFont="1" applyFill="1" applyBorder="1" applyAlignment="1">
      <alignment horizontal="center" vertical="center"/>
    </xf>
    <xf numFmtId="0" fontId="1" fillId="2" borderId="34" xfId="1" applyFill="1" applyBorder="1">
      <alignment vertical="center"/>
    </xf>
    <xf numFmtId="0" fontId="7" fillId="2" borderId="68" xfId="0" applyFont="1" applyFill="1" applyBorder="1" applyAlignment="1">
      <alignment horizontal="center" vertical="center"/>
    </xf>
    <xf numFmtId="6" fontId="9" fillId="2" borderId="68" xfId="2" applyNumberFormat="1" applyFont="1" applyFill="1" applyBorder="1" applyAlignment="1">
      <alignment horizontal="right" vertical="center"/>
    </xf>
    <xf numFmtId="0" fontId="1" fillId="2" borderId="68" xfId="1" applyFill="1" applyBorder="1">
      <alignment vertical="center"/>
    </xf>
    <xf numFmtId="6" fontId="9" fillId="2" borderId="68" xfId="1" applyNumberFormat="1" applyFont="1" applyFill="1" applyBorder="1" applyAlignment="1">
      <alignment horizontal="right" vertical="center"/>
    </xf>
    <xf numFmtId="49" fontId="9" fillId="2" borderId="29" xfId="1" applyNumberFormat="1" applyFont="1" applyFill="1" applyBorder="1" applyAlignment="1">
      <alignment horizontal="left" vertical="center"/>
    </xf>
    <xf numFmtId="6" fontId="9" fillId="2" borderId="73" xfId="1" applyNumberFormat="1" applyFont="1" applyFill="1" applyBorder="1" applyAlignment="1">
      <alignment horizontal="right" vertical="center"/>
    </xf>
    <xf numFmtId="0" fontId="11" fillId="2" borderId="74" xfId="0" applyFont="1" applyFill="1" applyBorder="1" applyAlignment="1">
      <alignment horizontal="left" vertical="center"/>
    </xf>
    <xf numFmtId="6" fontId="9" fillId="2" borderId="35" xfId="2" applyNumberFormat="1" applyFont="1" applyFill="1" applyBorder="1" applyAlignment="1">
      <alignment horizontal="right" vertical="center"/>
    </xf>
    <xf numFmtId="49" fontId="9" fillId="2" borderId="69" xfId="1" applyNumberFormat="1" applyFont="1" applyFill="1" applyBorder="1" applyAlignment="1">
      <alignment horizontal="left" vertical="center"/>
    </xf>
    <xf numFmtId="6" fontId="9" fillId="2" borderId="75" xfId="1" applyNumberFormat="1" applyFont="1" applyFill="1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6" fontId="9" fillId="2" borderId="72" xfId="1" applyNumberFormat="1" applyFont="1" applyFill="1" applyBorder="1" applyAlignment="1">
      <alignment horizontal="right" vertical="center"/>
    </xf>
    <xf numFmtId="49" fontId="9" fillId="2" borderId="41" xfId="1" applyNumberFormat="1" applyFont="1" applyFill="1" applyBorder="1" applyAlignment="1">
      <alignment horizontal="left" vertical="center"/>
    </xf>
    <xf numFmtId="6" fontId="9" fillId="2" borderId="76" xfId="1" applyNumberFormat="1" applyFont="1" applyFill="1" applyBorder="1" applyAlignment="1">
      <alignment horizontal="right" vertical="center"/>
    </xf>
    <xf numFmtId="49" fontId="9" fillId="2" borderId="73" xfId="1" applyNumberFormat="1" applyFont="1" applyFill="1" applyBorder="1" applyAlignment="1">
      <alignment horizontal="left" vertical="center"/>
    </xf>
    <xf numFmtId="49" fontId="9" fillId="2" borderId="68" xfId="1" applyNumberFormat="1" applyFont="1" applyFill="1" applyBorder="1" applyAlignment="1">
      <alignment horizontal="left" vertical="center"/>
    </xf>
    <xf numFmtId="49" fontId="9" fillId="2" borderId="68" xfId="0" applyNumberFormat="1" applyFont="1" applyFill="1" applyBorder="1" applyAlignment="1">
      <alignment horizontal="center" vertical="center"/>
    </xf>
    <xf numFmtId="0" fontId="0" fillId="2" borderId="68" xfId="0" applyFill="1" applyBorder="1">
      <alignment vertical="center"/>
    </xf>
    <xf numFmtId="49" fontId="9" fillId="2" borderId="68" xfId="0" applyNumberFormat="1" applyFont="1" applyFill="1" applyBorder="1" applyAlignment="1">
      <alignment horizontal="left" vertical="center"/>
    </xf>
    <xf numFmtId="49" fontId="12" fillId="2" borderId="68" xfId="0" applyNumberFormat="1" applyFont="1" applyFill="1" applyBorder="1" applyAlignment="1">
      <alignment horizontal="left" vertical="center"/>
    </xf>
    <xf numFmtId="0" fontId="12" fillId="2" borderId="68" xfId="0" applyFont="1" applyFill="1" applyBorder="1" applyAlignment="1">
      <alignment horizontal="left" vertical="center"/>
    </xf>
    <xf numFmtId="6" fontId="9" fillId="2" borderId="71" xfId="1" applyNumberFormat="1" applyFont="1" applyFill="1" applyBorder="1" applyAlignment="1">
      <alignment horizontal="right" vertical="center"/>
    </xf>
    <xf numFmtId="0" fontId="11" fillId="2" borderId="70" xfId="0" applyFont="1" applyFill="1" applyBorder="1" applyAlignment="1">
      <alignment horizontal="left" vertical="center"/>
    </xf>
    <xf numFmtId="0" fontId="1" fillId="2" borderId="31" xfId="1" applyFill="1" applyBorder="1">
      <alignment vertical="center"/>
    </xf>
    <xf numFmtId="0" fontId="14" fillId="2" borderId="68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176" fontId="6" fillId="2" borderId="68" xfId="0" applyNumberFormat="1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7" fillId="2" borderId="68" xfId="0" applyFont="1" applyFill="1" applyBorder="1" applyAlignment="1">
      <alignment horizontal="left" vertical="center" indent="1"/>
    </xf>
    <xf numFmtId="49" fontId="11" fillId="2" borderId="68" xfId="1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left" vertical="center" wrapText="1"/>
    </xf>
    <xf numFmtId="0" fontId="9" fillId="2" borderId="68" xfId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left" vertical="center"/>
    </xf>
    <xf numFmtId="0" fontId="1" fillId="2" borderId="68" xfId="1" applyFill="1" applyBorder="1" applyAlignment="1">
      <alignment horizontal="center" vertical="center"/>
    </xf>
    <xf numFmtId="0" fontId="1" fillId="2" borderId="68" xfId="1" applyFont="1" applyFill="1" applyBorder="1">
      <alignment vertical="center"/>
    </xf>
    <xf numFmtId="0" fontId="11" fillId="2" borderId="68" xfId="0" applyFont="1" applyFill="1" applyBorder="1" applyAlignment="1">
      <alignment horizontal="left" vertical="center"/>
    </xf>
    <xf numFmtId="0" fontId="0" fillId="2" borderId="68" xfId="0" applyFill="1" applyBorder="1" applyAlignment="1">
      <alignment horizontal="left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 indent="1"/>
    </xf>
    <xf numFmtId="0" fontId="17" fillId="2" borderId="30" xfId="0" applyFont="1" applyFill="1" applyBorder="1" applyAlignment="1">
      <alignment horizontal="center" vertical="center"/>
    </xf>
    <xf numFmtId="6" fontId="9" fillId="3" borderId="28" xfId="0" applyNumberFormat="1" applyFont="1" applyFill="1" applyBorder="1" applyAlignment="1">
      <alignment horizontal="right" vertical="center"/>
    </xf>
    <xf numFmtId="6" fontId="9" fillId="3" borderId="77" xfId="0" applyNumberFormat="1" applyFont="1" applyFill="1" applyBorder="1" applyAlignment="1">
      <alignment horizontal="right" vertical="center"/>
    </xf>
    <xf numFmtId="0" fontId="13" fillId="2" borderId="3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76" fontId="15" fillId="2" borderId="36" xfId="0" applyNumberFormat="1" applyFont="1" applyFill="1" applyBorder="1" applyAlignment="1">
      <alignment horizontal="right" vertical="center"/>
    </xf>
    <xf numFmtId="0" fontId="17" fillId="2" borderId="49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49" fontId="9" fillId="3" borderId="78" xfId="0" applyNumberFormat="1" applyFont="1" applyFill="1" applyBorder="1" applyAlignment="1">
      <alignment horizontal="left" vertical="center"/>
    </xf>
    <xf numFmtId="178" fontId="9" fillId="3" borderId="78" xfId="0" applyNumberFormat="1" applyFont="1" applyFill="1" applyBorder="1" applyAlignment="1">
      <alignment horizontal="right" vertical="center"/>
    </xf>
    <xf numFmtId="6" fontId="9" fillId="3" borderId="79" xfId="0" applyNumberFormat="1" applyFont="1" applyFill="1" applyBorder="1" applyAlignment="1">
      <alignment horizontal="right" vertical="center"/>
    </xf>
    <xf numFmtId="6" fontId="9" fillId="3" borderId="50" xfId="0" applyNumberFormat="1" applyFont="1" applyFill="1" applyBorder="1" applyAlignment="1">
      <alignment horizontal="right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59" xfId="0" applyFont="1" applyFill="1" applyBorder="1" applyAlignment="1">
      <alignment horizontal="center" vertical="center"/>
    </xf>
    <xf numFmtId="49" fontId="9" fillId="3" borderId="81" xfId="0" applyNumberFormat="1" applyFont="1" applyFill="1" applyBorder="1" applyAlignment="1">
      <alignment horizontal="left" vertical="center"/>
    </xf>
    <xf numFmtId="178" fontId="9" fillId="3" borderId="81" xfId="0" applyNumberFormat="1" applyFont="1" applyFill="1" applyBorder="1" applyAlignment="1">
      <alignment horizontal="right" vertical="center"/>
    </xf>
    <xf numFmtId="6" fontId="9" fillId="3" borderId="82" xfId="0" applyNumberFormat="1" applyFont="1" applyFill="1" applyBorder="1" applyAlignment="1">
      <alignment horizontal="right" vertical="center"/>
    </xf>
    <xf numFmtId="6" fontId="9" fillId="3" borderId="38" xfId="0" applyNumberFormat="1" applyFont="1" applyFill="1" applyBorder="1" applyAlignment="1">
      <alignment horizontal="right" vertical="center"/>
    </xf>
    <xf numFmtId="49" fontId="9" fillId="2" borderId="59" xfId="1" applyNumberFormat="1" applyFont="1" applyFill="1" applyBorder="1" applyAlignment="1">
      <alignment horizontal="left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left" vertical="center"/>
    </xf>
    <xf numFmtId="0" fontId="11" fillId="2" borderId="28" xfId="1" applyFont="1" applyFill="1" applyBorder="1" applyAlignment="1">
      <alignment horizontal="right" vertical="center"/>
    </xf>
    <xf numFmtId="49" fontId="11" fillId="2" borderId="28" xfId="1" applyNumberFormat="1" applyFont="1" applyFill="1" applyBorder="1" applyAlignment="1">
      <alignment horizontal="left" vertical="center"/>
    </xf>
    <xf numFmtId="0" fontId="11" fillId="2" borderId="34" xfId="0" applyFont="1" applyFill="1" applyBorder="1" applyAlignment="1">
      <alignment horizontal="center" vertical="center"/>
    </xf>
    <xf numFmtId="177" fontId="13" fillId="2" borderId="36" xfId="0" applyNumberFormat="1" applyFont="1" applyFill="1" applyBorder="1" applyAlignment="1">
      <alignment horizontal="right" vertical="center"/>
    </xf>
    <xf numFmtId="177" fontId="13" fillId="2" borderId="36" xfId="0" applyNumberFormat="1" applyFont="1" applyFill="1" applyBorder="1" applyAlignment="1">
      <alignment horizontal="center" vertical="top"/>
    </xf>
    <xf numFmtId="0" fontId="11" fillId="2" borderId="84" xfId="0" applyFont="1" applyFill="1" applyBorder="1" applyAlignment="1">
      <alignment horizontal="center" vertical="center"/>
    </xf>
    <xf numFmtId="0" fontId="11" fillId="2" borderId="87" xfId="0" applyFont="1" applyFill="1" applyBorder="1" applyAlignment="1">
      <alignment horizontal="center" vertical="center"/>
    </xf>
    <xf numFmtId="0" fontId="11" fillId="2" borderId="85" xfId="0" applyFont="1" applyFill="1" applyBorder="1" applyAlignment="1">
      <alignment horizontal="center" vertical="center"/>
    </xf>
    <xf numFmtId="0" fontId="11" fillId="2" borderId="86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9" fillId="2" borderId="50" xfId="1" applyFont="1" applyFill="1" applyBorder="1" applyAlignment="1">
      <alignment horizontal="left" vertical="center"/>
    </xf>
    <xf numFmtId="0" fontId="9" fillId="2" borderId="50" xfId="1" applyFont="1" applyFill="1" applyBorder="1" applyAlignment="1">
      <alignment horizontal="right" vertical="center"/>
    </xf>
    <xf numFmtId="177" fontId="9" fillId="2" borderId="50" xfId="2" applyNumberFormat="1" applyFont="1" applyFill="1" applyBorder="1" applyAlignment="1">
      <alignment horizontal="right" vertical="center"/>
    </xf>
    <xf numFmtId="177" fontId="9" fillId="2" borderId="50" xfId="1" applyNumberFormat="1" applyFont="1" applyFill="1" applyBorder="1" applyAlignment="1">
      <alignment horizontal="right" vertical="center"/>
    </xf>
    <xf numFmtId="0" fontId="11" fillId="2" borderId="59" xfId="0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left" vertical="center"/>
    </xf>
    <xf numFmtId="0" fontId="11" fillId="2" borderId="38" xfId="1" applyFont="1" applyFill="1" applyBorder="1" applyAlignment="1">
      <alignment horizontal="right" vertical="center"/>
    </xf>
    <xf numFmtId="177" fontId="11" fillId="2" borderId="38" xfId="1" applyNumberFormat="1" applyFont="1" applyFill="1" applyBorder="1" applyAlignment="1">
      <alignment horizontal="right" vertical="center"/>
    </xf>
    <xf numFmtId="49" fontId="11" fillId="2" borderId="38" xfId="1" applyNumberFormat="1" applyFont="1" applyFill="1" applyBorder="1" applyAlignment="1">
      <alignment horizontal="left" vertical="center"/>
    </xf>
    <xf numFmtId="6" fontId="9" fillId="3" borderId="89" xfId="0" applyNumberFormat="1" applyFont="1" applyFill="1" applyBorder="1" applyAlignment="1">
      <alignment horizontal="right" vertical="center"/>
    </xf>
    <xf numFmtId="177" fontId="11" fillId="2" borderId="93" xfId="0" applyNumberFormat="1" applyFont="1" applyFill="1" applyBorder="1" applyAlignment="1">
      <alignment horizontal="right" vertical="center"/>
    </xf>
    <xf numFmtId="0" fontId="11" fillId="2" borderId="94" xfId="0" applyFont="1" applyFill="1" applyBorder="1" applyAlignment="1">
      <alignment horizontal="center" vertical="center"/>
    </xf>
    <xf numFmtId="49" fontId="11" fillId="2" borderId="94" xfId="1" applyNumberFormat="1" applyFont="1" applyFill="1" applyBorder="1" applyAlignment="1">
      <alignment horizontal="left" vertical="center"/>
    </xf>
    <xf numFmtId="0" fontId="11" fillId="2" borderId="97" xfId="0" applyFont="1" applyFill="1" applyBorder="1" applyAlignment="1">
      <alignment horizontal="center" vertical="center"/>
    </xf>
    <xf numFmtId="0" fontId="11" fillId="2" borderId="98" xfId="0" applyFont="1" applyFill="1" applyBorder="1" applyAlignment="1">
      <alignment horizontal="center" vertical="center"/>
    </xf>
    <xf numFmtId="49" fontId="11" fillId="3" borderId="99" xfId="0" applyNumberFormat="1" applyFont="1" applyFill="1" applyBorder="1" applyAlignment="1">
      <alignment horizontal="left" vertical="center"/>
    </xf>
    <xf numFmtId="0" fontId="11" fillId="2" borderId="100" xfId="1" applyFont="1" applyFill="1" applyBorder="1" applyAlignment="1">
      <alignment horizontal="right" vertical="center"/>
    </xf>
    <xf numFmtId="6" fontId="11" fillId="3" borderId="100" xfId="0" applyNumberFormat="1" applyFont="1" applyFill="1" applyBorder="1" applyAlignment="1">
      <alignment horizontal="right" vertical="center"/>
    </xf>
    <xf numFmtId="177" fontId="11" fillId="2" borderId="65" xfId="1" applyNumberFormat="1" applyFont="1" applyFill="1" applyBorder="1" applyAlignment="1">
      <alignment horizontal="right" vertical="center"/>
    </xf>
    <xf numFmtId="49" fontId="11" fillId="2" borderId="98" xfId="1" applyNumberFormat="1" applyFont="1" applyFill="1" applyBorder="1" applyAlignment="1">
      <alignment horizontal="left" vertical="center"/>
    </xf>
    <xf numFmtId="177" fontId="11" fillId="2" borderId="101" xfId="0" applyNumberFormat="1" applyFont="1" applyFill="1" applyBorder="1" applyAlignment="1">
      <alignment horizontal="right" vertical="center"/>
    </xf>
    <xf numFmtId="49" fontId="11" fillId="3" borderId="94" xfId="0" applyNumberFormat="1" applyFont="1" applyFill="1" applyBorder="1" applyAlignment="1">
      <alignment horizontal="left" vertical="center"/>
    </xf>
    <xf numFmtId="177" fontId="11" fillId="2" borderId="94" xfId="0" applyNumberFormat="1" applyFont="1" applyFill="1" applyBorder="1" applyAlignment="1">
      <alignment horizontal="right" vertical="center"/>
    </xf>
    <xf numFmtId="178" fontId="11" fillId="3" borderId="94" xfId="0" applyNumberFormat="1" applyFont="1" applyFill="1" applyBorder="1" applyAlignment="1">
      <alignment horizontal="right" vertical="center"/>
    </xf>
    <xf numFmtId="6" fontId="11" fillId="3" borderId="94" xfId="0" applyNumberFormat="1" applyFont="1" applyFill="1" applyBorder="1" applyAlignment="1">
      <alignment horizontal="right" vertical="center"/>
    </xf>
    <xf numFmtId="49" fontId="9" fillId="3" borderId="94" xfId="0" applyNumberFormat="1" applyFont="1" applyFill="1" applyBorder="1" applyAlignment="1">
      <alignment horizontal="left" vertical="center"/>
    </xf>
    <xf numFmtId="178" fontId="9" fillId="3" borderId="94" xfId="0" applyNumberFormat="1" applyFont="1" applyFill="1" applyBorder="1" applyAlignment="1">
      <alignment horizontal="right" vertical="center"/>
    </xf>
    <xf numFmtId="6" fontId="9" fillId="3" borderId="94" xfId="0" applyNumberFormat="1" applyFont="1" applyFill="1" applyBorder="1" applyAlignment="1">
      <alignment horizontal="right" vertical="center"/>
    </xf>
    <xf numFmtId="0" fontId="11" fillId="2" borderId="104" xfId="0" applyFont="1" applyFill="1" applyBorder="1" applyAlignment="1">
      <alignment horizontal="center" vertical="center"/>
    </xf>
    <xf numFmtId="0" fontId="11" fillId="2" borderId="105" xfId="0" applyFont="1" applyFill="1" applyBorder="1" applyAlignment="1">
      <alignment horizontal="center" vertical="center"/>
    </xf>
    <xf numFmtId="49" fontId="11" fillId="3" borderId="105" xfId="0" applyNumberFormat="1" applyFont="1" applyFill="1" applyBorder="1" applyAlignment="1">
      <alignment horizontal="left" vertical="center"/>
    </xf>
    <xf numFmtId="176" fontId="11" fillId="2" borderId="105" xfId="0" applyNumberFormat="1" applyFont="1" applyFill="1" applyBorder="1" applyAlignment="1">
      <alignment horizontal="right" vertical="center"/>
    </xf>
    <xf numFmtId="177" fontId="11" fillId="2" borderId="105" xfId="0" applyNumberFormat="1" applyFont="1" applyFill="1" applyBorder="1" applyAlignment="1">
      <alignment horizontal="right" vertical="center"/>
    </xf>
    <xf numFmtId="49" fontId="11" fillId="2" borderId="105" xfId="1" applyNumberFormat="1" applyFont="1" applyFill="1" applyBorder="1" applyAlignment="1">
      <alignment horizontal="left" vertical="center"/>
    </xf>
    <xf numFmtId="0" fontId="11" fillId="2" borderId="107" xfId="0" applyFont="1" applyFill="1" applyBorder="1" applyAlignment="1">
      <alignment horizontal="center" vertical="center"/>
    </xf>
    <xf numFmtId="0" fontId="11" fillId="2" borderId="108" xfId="0" applyFont="1" applyFill="1" applyBorder="1" applyAlignment="1">
      <alignment horizontal="center" vertical="center"/>
    </xf>
    <xf numFmtId="49" fontId="11" fillId="3" borderId="108" xfId="0" applyNumberFormat="1" applyFont="1" applyFill="1" applyBorder="1" applyAlignment="1">
      <alignment horizontal="left" vertical="center"/>
    </xf>
    <xf numFmtId="178" fontId="11" fillId="3" borderId="108" xfId="0" applyNumberFormat="1" applyFont="1" applyFill="1" applyBorder="1" applyAlignment="1">
      <alignment horizontal="right" vertical="center"/>
    </xf>
    <xf numFmtId="6" fontId="11" fillId="3" borderId="108" xfId="0" applyNumberFormat="1" applyFont="1" applyFill="1" applyBorder="1" applyAlignment="1">
      <alignment horizontal="right" vertical="center"/>
    </xf>
    <xf numFmtId="177" fontId="11" fillId="2" borderId="108" xfId="0" applyNumberFormat="1" applyFont="1" applyFill="1" applyBorder="1" applyAlignment="1">
      <alignment horizontal="right" vertical="center"/>
    </xf>
    <xf numFmtId="49" fontId="11" fillId="2" borderId="108" xfId="1" applyNumberFormat="1" applyFont="1" applyFill="1" applyBorder="1" applyAlignment="1">
      <alignment horizontal="left" vertical="center"/>
    </xf>
    <xf numFmtId="0" fontId="11" fillId="2" borderId="92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177" fontId="11" fillId="2" borderId="110" xfId="0" applyNumberFormat="1" applyFont="1" applyFill="1" applyBorder="1" applyAlignment="1">
      <alignment horizontal="right" vertical="center"/>
    </xf>
    <xf numFmtId="49" fontId="11" fillId="2" borderId="31" xfId="1" applyNumberFormat="1" applyFont="1" applyFill="1" applyBorder="1" applyAlignment="1">
      <alignment horizontal="center" vertical="center"/>
    </xf>
    <xf numFmtId="49" fontId="11" fillId="2" borderId="39" xfId="1" applyNumberFormat="1" applyFont="1" applyFill="1" applyBorder="1" applyAlignment="1">
      <alignment horizontal="center" vertical="center"/>
    </xf>
    <xf numFmtId="49" fontId="9" fillId="2" borderId="49" xfId="1" applyNumberFormat="1" applyFont="1" applyFill="1" applyBorder="1" applyAlignment="1">
      <alignment horizontal="center" vertical="center"/>
    </xf>
    <xf numFmtId="49" fontId="9" fillId="2" borderId="55" xfId="1" applyNumberFormat="1" applyFont="1" applyFill="1" applyBorder="1" applyAlignment="1">
      <alignment horizontal="center" vertical="center"/>
    </xf>
    <xf numFmtId="49" fontId="9" fillId="2" borderId="57" xfId="1" applyNumberFormat="1" applyFont="1" applyFill="1" applyBorder="1" applyAlignment="1">
      <alignment horizontal="center" vertical="center"/>
    </xf>
    <xf numFmtId="0" fontId="1" fillId="2" borderId="38" xfId="1" applyFill="1" applyBorder="1" applyAlignment="1">
      <alignment vertical="center"/>
    </xf>
    <xf numFmtId="49" fontId="9" fillId="2" borderId="111" xfId="1" applyNumberFormat="1" applyFont="1" applyFill="1" applyBorder="1" applyAlignment="1">
      <alignment horizontal="center" vertical="center"/>
    </xf>
    <xf numFmtId="0" fontId="1" fillId="2" borderId="112" xfId="1" applyFill="1" applyBorder="1" applyAlignment="1">
      <alignment vertical="center"/>
    </xf>
    <xf numFmtId="49" fontId="9" fillId="3" borderId="112" xfId="0" applyNumberFormat="1" applyFont="1" applyFill="1" applyBorder="1" applyAlignment="1">
      <alignment horizontal="left" vertical="center"/>
    </xf>
    <xf numFmtId="178" fontId="9" fillId="3" borderId="112" xfId="0" applyNumberFormat="1" applyFont="1" applyFill="1" applyBorder="1" applyAlignment="1">
      <alignment horizontal="right" vertical="center"/>
    </xf>
    <xf numFmtId="6" fontId="9" fillId="3" borderId="112" xfId="0" applyNumberFormat="1" applyFont="1" applyFill="1" applyBorder="1" applyAlignment="1">
      <alignment horizontal="right" vertical="center"/>
    </xf>
    <xf numFmtId="49" fontId="9" fillId="2" borderId="113" xfId="1" applyNumberFormat="1" applyFont="1" applyFill="1" applyBorder="1" applyAlignment="1">
      <alignment horizontal="center" vertical="center"/>
    </xf>
    <xf numFmtId="49" fontId="9" fillId="2" borderId="114" xfId="1" applyNumberFormat="1" applyFont="1" applyFill="1" applyBorder="1" applyAlignment="1">
      <alignment horizontal="center" vertical="center"/>
    </xf>
    <xf numFmtId="0" fontId="1" fillId="2" borderId="115" xfId="1" applyFill="1" applyBorder="1" applyAlignment="1">
      <alignment vertical="center"/>
    </xf>
    <xf numFmtId="6" fontId="9" fillId="3" borderId="81" xfId="0" applyNumberFormat="1" applyFont="1" applyFill="1" applyBorder="1" applyAlignment="1">
      <alignment horizontal="right" vertical="center"/>
    </xf>
    <xf numFmtId="49" fontId="9" fillId="2" borderId="116" xfId="1" applyNumberFormat="1" applyFont="1" applyFill="1" applyBorder="1" applyAlignment="1">
      <alignment horizontal="center" vertical="center"/>
    </xf>
    <xf numFmtId="0" fontId="1" fillId="2" borderId="117" xfId="1" applyFill="1" applyBorder="1" applyAlignment="1">
      <alignment vertical="center"/>
    </xf>
    <xf numFmtId="49" fontId="9" fillId="3" borderId="118" xfId="0" applyNumberFormat="1" applyFont="1" applyFill="1" applyBorder="1" applyAlignment="1">
      <alignment horizontal="left" vertical="center"/>
    </xf>
    <xf numFmtId="178" fontId="9" fillId="3" borderId="118" xfId="0" applyNumberFormat="1" applyFont="1" applyFill="1" applyBorder="1" applyAlignment="1">
      <alignment horizontal="right" vertical="center"/>
    </xf>
    <xf numFmtId="6" fontId="9" fillId="3" borderId="118" xfId="0" applyNumberFormat="1" applyFont="1" applyFill="1" applyBorder="1" applyAlignment="1">
      <alignment horizontal="right" vertical="center"/>
    </xf>
    <xf numFmtId="49" fontId="9" fillId="2" borderId="119" xfId="1" applyNumberFormat="1" applyFont="1" applyFill="1" applyBorder="1" applyAlignment="1">
      <alignment horizontal="left" vertical="center"/>
    </xf>
    <xf numFmtId="0" fontId="1" fillId="2" borderId="50" xfId="1" applyFill="1" applyBorder="1" applyAlignment="1">
      <alignment vertical="center"/>
    </xf>
    <xf numFmtId="49" fontId="9" fillId="3" borderId="122" xfId="0" applyNumberFormat="1" applyFont="1" applyFill="1" applyBorder="1" applyAlignment="1">
      <alignment horizontal="left" vertical="center"/>
    </xf>
    <xf numFmtId="0" fontId="9" fillId="2" borderId="53" xfId="1" applyFont="1" applyFill="1" applyBorder="1" applyAlignment="1">
      <alignment horizontal="right" vertical="center"/>
    </xf>
    <xf numFmtId="6" fontId="9" fillId="3" borderId="123" xfId="0" applyNumberFormat="1" applyFont="1" applyFill="1" applyBorder="1" applyAlignment="1">
      <alignment horizontal="right" vertical="center"/>
    </xf>
    <xf numFmtId="177" fontId="11" fillId="2" borderId="50" xfId="1" applyNumberFormat="1" applyFont="1" applyFill="1" applyBorder="1" applyAlignment="1">
      <alignment horizontal="right" vertical="center"/>
    </xf>
    <xf numFmtId="49" fontId="9" fillId="2" borderId="53" xfId="1" applyNumberFormat="1" applyFont="1" applyFill="1" applyBorder="1" applyAlignment="1">
      <alignment horizontal="left" vertical="center"/>
    </xf>
    <xf numFmtId="49" fontId="9" fillId="2" borderId="124" xfId="1" applyNumberFormat="1" applyFont="1" applyFill="1" applyBorder="1" applyAlignment="1">
      <alignment horizontal="center" vertical="center"/>
    </xf>
    <xf numFmtId="49" fontId="9" fillId="3" borderId="125" xfId="0" applyNumberFormat="1" applyFont="1" applyFill="1" applyBorder="1" applyAlignment="1">
      <alignment horizontal="left" vertical="center"/>
    </xf>
    <xf numFmtId="178" fontId="9" fillId="3" borderId="125" xfId="0" applyNumberFormat="1" applyFont="1" applyFill="1" applyBorder="1" applyAlignment="1">
      <alignment horizontal="right" vertical="center"/>
    </xf>
    <xf numFmtId="6" fontId="9" fillId="3" borderId="125" xfId="0" applyNumberFormat="1" applyFont="1" applyFill="1" applyBorder="1" applyAlignment="1">
      <alignment horizontal="right" vertical="center"/>
    </xf>
    <xf numFmtId="177" fontId="11" fillId="2" borderId="59" xfId="1" applyNumberFormat="1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14" fontId="5" fillId="2" borderId="36" xfId="0" applyNumberFormat="1" applyFont="1" applyFill="1" applyBorder="1" applyAlignment="1">
      <alignment horizontal="center" vertical="center"/>
    </xf>
    <xf numFmtId="14" fontId="17" fillId="2" borderId="54" xfId="0" applyNumberFormat="1" applyFont="1" applyFill="1" applyBorder="1" applyAlignment="1">
      <alignment horizontal="center" vertical="center"/>
    </xf>
    <xf numFmtId="14" fontId="17" fillId="2" borderId="80" xfId="0" applyNumberFormat="1" applyFont="1" applyFill="1" applyBorder="1" applyAlignment="1">
      <alignment horizontal="center" vertical="center"/>
    </xf>
    <xf numFmtId="14" fontId="11" fillId="2" borderId="80" xfId="0" applyNumberFormat="1" applyFont="1" applyFill="1" applyBorder="1" applyAlignment="1">
      <alignment horizontal="center" vertical="center"/>
    </xf>
    <xf numFmtId="14" fontId="11" fillId="2" borderId="83" xfId="0" applyNumberFormat="1" applyFont="1" applyFill="1" applyBorder="1" applyAlignment="1">
      <alignment horizontal="center" vertical="center"/>
    </xf>
    <xf numFmtId="14" fontId="11" fillId="2" borderId="54" xfId="0" applyNumberFormat="1" applyFont="1" applyFill="1" applyBorder="1" applyAlignment="1">
      <alignment horizontal="center" vertical="center"/>
    </xf>
    <xf numFmtId="14" fontId="11" fillId="2" borderId="95" xfId="0" applyNumberFormat="1" applyFont="1" applyFill="1" applyBorder="1" applyAlignment="1">
      <alignment horizontal="center" vertical="center"/>
    </xf>
    <xf numFmtId="14" fontId="11" fillId="2" borderId="106" xfId="0" applyNumberFormat="1" applyFont="1" applyFill="1" applyBorder="1" applyAlignment="1">
      <alignment horizontal="center" vertical="center"/>
    </xf>
    <xf numFmtId="14" fontId="11" fillId="2" borderId="109" xfId="0" applyNumberFormat="1" applyFont="1" applyFill="1" applyBorder="1" applyAlignment="1">
      <alignment horizontal="center" vertical="center"/>
    </xf>
    <xf numFmtId="14" fontId="11" fillId="2" borderId="96" xfId="0" applyNumberFormat="1" applyFont="1" applyFill="1" applyBorder="1" applyAlignment="1">
      <alignment horizontal="center" vertical="center"/>
    </xf>
    <xf numFmtId="14" fontId="9" fillId="2" borderId="28" xfId="1" applyNumberFormat="1" applyFont="1" applyFill="1" applyBorder="1" applyAlignment="1">
      <alignment horizontal="center" vertical="center"/>
    </xf>
    <xf numFmtId="14" fontId="9" fillId="2" borderId="38" xfId="1" applyNumberFormat="1" applyFont="1" applyFill="1" applyBorder="1" applyAlignment="1">
      <alignment horizontal="center" vertical="center"/>
    </xf>
    <xf numFmtId="14" fontId="9" fillId="2" borderId="30" xfId="1" applyNumberFormat="1" applyFont="1" applyFill="1" applyBorder="1" applyAlignment="1">
      <alignment horizontal="center" vertical="center"/>
    </xf>
    <xf numFmtId="14" fontId="9" fillId="2" borderId="36" xfId="1" applyNumberFormat="1" applyFont="1" applyFill="1" applyBorder="1" applyAlignment="1">
      <alignment horizontal="center" vertical="center"/>
    </xf>
    <xf numFmtId="14" fontId="9" fillId="2" borderId="54" xfId="1" applyNumberFormat="1" applyFont="1" applyFill="1" applyBorder="1" applyAlignment="1">
      <alignment horizontal="center" vertical="center"/>
    </xf>
    <xf numFmtId="14" fontId="9" fillId="2" borderId="56" xfId="1" applyNumberFormat="1" applyFont="1" applyFill="1" applyBorder="1" applyAlignment="1">
      <alignment horizontal="center" vertical="center"/>
    </xf>
    <xf numFmtId="14" fontId="9" fillId="2" borderId="60" xfId="1" applyNumberFormat="1" applyFont="1" applyFill="1" applyBorder="1" applyAlignment="1">
      <alignment horizontal="center" vertical="center"/>
    </xf>
    <xf numFmtId="14" fontId="9" fillId="2" borderId="120" xfId="1" applyNumberFormat="1" applyFont="1" applyFill="1" applyBorder="1" applyAlignment="1">
      <alignment horizontal="center" vertical="center"/>
    </xf>
    <xf numFmtId="14" fontId="9" fillId="2" borderId="121" xfId="1" applyNumberFormat="1" applyFont="1" applyFill="1" applyBorder="1" applyAlignment="1">
      <alignment horizontal="center" vertical="center"/>
    </xf>
    <xf numFmtId="14" fontId="1" fillId="2" borderId="28" xfId="1" applyNumberFormat="1" applyFont="1" applyFill="1" applyBorder="1">
      <alignment vertical="center"/>
    </xf>
    <xf numFmtId="14" fontId="0" fillId="0" borderId="0" xfId="0" applyNumberFormat="1">
      <alignment vertical="center"/>
    </xf>
    <xf numFmtId="49" fontId="7" fillId="2" borderId="30" xfId="0" applyNumberFormat="1" applyFont="1" applyFill="1" applyBorder="1" applyAlignment="1">
      <alignment horizontal="center" vertical="center"/>
    </xf>
    <xf numFmtId="49" fontId="17" fillId="2" borderId="29" xfId="0" applyNumberFormat="1" applyFont="1" applyFill="1" applyBorder="1" applyAlignment="1">
      <alignment horizontal="center" vertical="center"/>
    </xf>
    <xf numFmtId="49" fontId="13" fillId="2" borderId="29" xfId="0" applyNumberFormat="1" applyFont="1" applyFill="1" applyBorder="1" applyAlignment="1">
      <alignment horizontal="center" vertical="center"/>
    </xf>
    <xf numFmtId="49" fontId="13" fillId="2" borderId="40" xfId="0" applyNumberFormat="1" applyFont="1" applyFill="1" applyBorder="1" applyAlignment="1">
      <alignment horizontal="center" vertical="center"/>
    </xf>
    <xf numFmtId="49" fontId="13" fillId="2" borderId="102" xfId="0" applyNumberFormat="1" applyFont="1" applyFill="1" applyBorder="1" applyAlignment="1">
      <alignment horizontal="center" vertical="center"/>
    </xf>
    <xf numFmtId="49" fontId="13" fillId="2" borderId="103" xfId="0" applyNumberFormat="1" applyFont="1" applyFill="1" applyBorder="1" applyAlignment="1">
      <alignment horizontal="center" vertical="center"/>
    </xf>
    <xf numFmtId="49" fontId="13" fillId="2" borderId="86" xfId="0" applyNumberFormat="1" applyFont="1" applyFill="1" applyBorder="1" applyAlignment="1">
      <alignment horizontal="center" vertical="center"/>
    </xf>
    <xf numFmtId="49" fontId="13" fillId="2" borderId="91" xfId="0" applyNumberFormat="1" applyFont="1" applyFill="1" applyBorder="1" applyAlignment="1">
      <alignment horizontal="center" vertical="center"/>
    </xf>
    <xf numFmtId="49" fontId="13" fillId="2" borderId="88" xfId="0" applyNumberFormat="1" applyFont="1" applyFill="1" applyBorder="1" applyAlignment="1">
      <alignment horizontal="center" vertical="center"/>
    </xf>
    <xf numFmtId="49" fontId="13" fillId="2" borderId="90" xfId="0" applyNumberFormat="1" applyFont="1" applyFill="1" applyBorder="1" applyAlignment="1">
      <alignment horizontal="center" vertical="center"/>
    </xf>
    <xf numFmtId="49" fontId="0" fillId="2" borderId="31" xfId="0" applyNumberFormat="1" applyFill="1" applyBorder="1" applyAlignment="1">
      <alignment vertical="center"/>
    </xf>
    <xf numFmtId="49" fontId="0" fillId="2" borderId="29" xfId="0" applyNumberFormat="1" applyFill="1" applyBorder="1" applyAlignment="1">
      <alignment vertical="center"/>
    </xf>
    <xf numFmtId="49" fontId="0" fillId="2" borderId="28" xfId="0" applyNumberFormat="1" applyFill="1" applyBorder="1" applyAlignment="1">
      <alignment vertical="center"/>
    </xf>
    <xf numFmtId="49" fontId="0" fillId="2" borderId="28" xfId="0" applyNumberFormat="1" applyFill="1" applyBorder="1">
      <alignment vertical="center"/>
    </xf>
    <xf numFmtId="0" fontId="9" fillId="0" borderId="28" xfId="0" applyNumberFormat="1" applyFont="1" applyBorder="1" applyAlignment="1">
      <alignment horizontal="left" vertical="center" wrapText="1"/>
    </xf>
    <xf numFmtId="0" fontId="11" fillId="2" borderId="28" xfId="1" applyFont="1" applyFill="1" applyBorder="1">
      <alignment vertical="center"/>
    </xf>
    <xf numFmtId="179" fontId="1" fillId="2" borderId="28" xfId="1" applyNumberFormat="1" applyFont="1" applyFill="1" applyBorder="1">
      <alignment vertical="center"/>
    </xf>
  </cellXfs>
  <cellStyles count="3">
    <cellStyle name="一般" xfId="0" builtinId="0"/>
    <cellStyle name="一般 2" xfId="1"/>
    <cellStyle name="貨幣 2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topLeftCell="B1" zoomScale="98" zoomScaleNormal="98" workbookViewId="0">
      <pane ySplit="1" topLeftCell="A2" activePane="bottomLeft" state="frozen"/>
      <selection activeCell="C1" sqref="C1"/>
      <selection pane="bottomLeft" activeCell="I18" sqref="I18:I20"/>
    </sheetView>
  </sheetViews>
  <sheetFormatPr defaultColWidth="9" defaultRowHeight="21.6" customHeight="1" x14ac:dyDescent="0.25"/>
  <cols>
    <col min="1" max="1" width="14.625" style="86" customWidth="1"/>
    <col min="2" max="2" width="12.625" style="79" customWidth="1"/>
    <col min="3" max="3" width="26.75" style="78" customWidth="1"/>
    <col min="4" max="4" width="7.125" style="98" customWidth="1"/>
    <col min="5" max="5" width="9.875" style="97" customWidth="1"/>
    <col min="6" max="6" width="12.625" style="97" customWidth="1"/>
    <col min="7" max="7" width="38.125" style="74" bestFit="1" customWidth="1"/>
    <col min="8" max="8" width="18.5" style="375" customWidth="1"/>
    <col min="9" max="9" width="17.625" style="390" customWidth="1"/>
    <col min="10" max="10" width="13.5" style="80" customWidth="1"/>
    <col min="11" max="11" width="17.125" style="77" customWidth="1"/>
    <col min="12" max="13" width="12.625" style="80" customWidth="1"/>
    <col min="14" max="14" width="7.75" style="79" customWidth="1"/>
    <col min="15" max="15" width="9.75" style="79" bestFit="1" customWidth="1"/>
    <col min="16" max="257" width="9" style="79"/>
    <col min="258" max="258" width="12.625" style="79" customWidth="1"/>
    <col min="259" max="260" width="6.625" style="79" customWidth="1"/>
    <col min="261" max="261" width="21.625" style="79" customWidth="1"/>
    <col min="262" max="262" width="28.625" style="79" customWidth="1"/>
    <col min="263" max="263" width="5.625" style="79" customWidth="1"/>
    <col min="264" max="264" width="8.625" style="79" customWidth="1"/>
    <col min="265" max="265" width="9.625" style="79" customWidth="1"/>
    <col min="266" max="266" width="8.625" style="79" customWidth="1"/>
    <col min="267" max="267" width="18.625" style="79" customWidth="1"/>
    <col min="268" max="268" width="8.625" style="79" customWidth="1"/>
    <col min="269" max="513" width="9" style="79"/>
    <col min="514" max="514" width="12.625" style="79" customWidth="1"/>
    <col min="515" max="516" width="6.625" style="79" customWidth="1"/>
    <col min="517" max="517" width="21.625" style="79" customWidth="1"/>
    <col min="518" max="518" width="28.625" style="79" customWidth="1"/>
    <col min="519" max="519" width="5.625" style="79" customWidth="1"/>
    <col min="520" max="520" width="8.625" style="79" customWidth="1"/>
    <col min="521" max="521" width="9.625" style="79" customWidth="1"/>
    <col min="522" max="522" width="8.625" style="79" customWidth="1"/>
    <col min="523" max="523" width="18.625" style="79" customWidth="1"/>
    <col min="524" max="524" width="8.625" style="79" customWidth="1"/>
    <col min="525" max="769" width="9" style="79"/>
    <col min="770" max="770" width="12.625" style="79" customWidth="1"/>
    <col min="771" max="772" width="6.625" style="79" customWidth="1"/>
    <col min="773" max="773" width="21.625" style="79" customWidth="1"/>
    <col min="774" max="774" width="28.625" style="79" customWidth="1"/>
    <col min="775" max="775" width="5.625" style="79" customWidth="1"/>
    <col min="776" max="776" width="8.625" style="79" customWidth="1"/>
    <col min="777" max="777" width="9.625" style="79" customWidth="1"/>
    <col min="778" max="778" width="8.625" style="79" customWidth="1"/>
    <col min="779" max="779" width="18.625" style="79" customWidth="1"/>
    <col min="780" max="780" width="8.625" style="79" customWidth="1"/>
    <col min="781" max="1025" width="9" style="79"/>
    <col min="1026" max="1026" width="12.625" style="79" customWidth="1"/>
    <col min="1027" max="1028" width="6.625" style="79" customWidth="1"/>
    <col min="1029" max="1029" width="21.625" style="79" customWidth="1"/>
    <col min="1030" max="1030" width="28.625" style="79" customWidth="1"/>
    <col min="1031" max="1031" width="5.625" style="79" customWidth="1"/>
    <col min="1032" max="1032" width="8.625" style="79" customWidth="1"/>
    <col min="1033" max="1033" width="9.625" style="79" customWidth="1"/>
    <col min="1034" max="1034" width="8.625" style="79" customWidth="1"/>
    <col min="1035" max="1035" width="18.625" style="79" customWidth="1"/>
    <col min="1036" max="1036" width="8.625" style="79" customWidth="1"/>
    <col min="1037" max="1281" width="9" style="79"/>
    <col min="1282" max="1282" width="12.625" style="79" customWidth="1"/>
    <col min="1283" max="1284" width="6.625" style="79" customWidth="1"/>
    <col min="1285" max="1285" width="21.625" style="79" customWidth="1"/>
    <col min="1286" max="1286" width="28.625" style="79" customWidth="1"/>
    <col min="1287" max="1287" width="5.625" style="79" customWidth="1"/>
    <col min="1288" max="1288" width="8.625" style="79" customWidth="1"/>
    <col min="1289" max="1289" width="9.625" style="79" customWidth="1"/>
    <col min="1290" max="1290" width="8.625" style="79" customWidth="1"/>
    <col min="1291" max="1291" width="18.625" style="79" customWidth="1"/>
    <col min="1292" max="1292" width="8.625" style="79" customWidth="1"/>
    <col min="1293" max="1537" width="9" style="79"/>
    <col min="1538" max="1538" width="12.625" style="79" customWidth="1"/>
    <col min="1539" max="1540" width="6.625" style="79" customWidth="1"/>
    <col min="1541" max="1541" width="21.625" style="79" customWidth="1"/>
    <col min="1542" max="1542" width="28.625" style="79" customWidth="1"/>
    <col min="1543" max="1543" width="5.625" style="79" customWidth="1"/>
    <col min="1544" max="1544" width="8.625" style="79" customWidth="1"/>
    <col min="1545" max="1545" width="9.625" style="79" customWidth="1"/>
    <col min="1546" max="1546" width="8.625" style="79" customWidth="1"/>
    <col min="1547" max="1547" width="18.625" style="79" customWidth="1"/>
    <col min="1548" max="1548" width="8.625" style="79" customWidth="1"/>
    <col min="1549" max="1793" width="9" style="79"/>
    <col min="1794" max="1794" width="12.625" style="79" customWidth="1"/>
    <col min="1795" max="1796" width="6.625" style="79" customWidth="1"/>
    <col min="1797" max="1797" width="21.625" style="79" customWidth="1"/>
    <col min="1798" max="1798" width="28.625" style="79" customWidth="1"/>
    <col min="1799" max="1799" width="5.625" style="79" customWidth="1"/>
    <col min="1800" max="1800" width="8.625" style="79" customWidth="1"/>
    <col min="1801" max="1801" width="9.625" style="79" customWidth="1"/>
    <col min="1802" max="1802" width="8.625" style="79" customWidth="1"/>
    <col min="1803" max="1803" width="18.625" style="79" customWidth="1"/>
    <col min="1804" max="1804" width="8.625" style="79" customWidth="1"/>
    <col min="1805" max="2049" width="9" style="79"/>
    <col min="2050" max="2050" width="12.625" style="79" customWidth="1"/>
    <col min="2051" max="2052" width="6.625" style="79" customWidth="1"/>
    <col min="2053" max="2053" width="21.625" style="79" customWidth="1"/>
    <col min="2054" max="2054" width="28.625" style="79" customWidth="1"/>
    <col min="2055" max="2055" width="5.625" style="79" customWidth="1"/>
    <col min="2056" max="2056" width="8.625" style="79" customWidth="1"/>
    <col min="2057" max="2057" width="9.625" style="79" customWidth="1"/>
    <col min="2058" max="2058" width="8.625" style="79" customWidth="1"/>
    <col min="2059" max="2059" width="18.625" style="79" customWidth="1"/>
    <col min="2060" max="2060" width="8.625" style="79" customWidth="1"/>
    <col min="2061" max="2305" width="9" style="79"/>
    <col min="2306" max="2306" width="12.625" style="79" customWidth="1"/>
    <col min="2307" max="2308" width="6.625" style="79" customWidth="1"/>
    <col min="2309" max="2309" width="21.625" style="79" customWidth="1"/>
    <col min="2310" max="2310" width="28.625" style="79" customWidth="1"/>
    <col min="2311" max="2311" width="5.625" style="79" customWidth="1"/>
    <col min="2312" max="2312" width="8.625" style="79" customWidth="1"/>
    <col min="2313" max="2313" width="9.625" style="79" customWidth="1"/>
    <col min="2314" max="2314" width="8.625" style="79" customWidth="1"/>
    <col min="2315" max="2315" width="18.625" style="79" customWidth="1"/>
    <col min="2316" max="2316" width="8.625" style="79" customWidth="1"/>
    <col min="2317" max="2561" width="9" style="79"/>
    <col min="2562" max="2562" width="12.625" style="79" customWidth="1"/>
    <col min="2563" max="2564" width="6.625" style="79" customWidth="1"/>
    <col min="2565" max="2565" width="21.625" style="79" customWidth="1"/>
    <col min="2566" max="2566" width="28.625" style="79" customWidth="1"/>
    <col min="2567" max="2567" width="5.625" style="79" customWidth="1"/>
    <col min="2568" max="2568" width="8.625" style="79" customWidth="1"/>
    <col min="2569" max="2569" width="9.625" style="79" customWidth="1"/>
    <col min="2570" max="2570" width="8.625" style="79" customWidth="1"/>
    <col min="2571" max="2571" width="18.625" style="79" customWidth="1"/>
    <col min="2572" max="2572" width="8.625" style="79" customWidth="1"/>
    <col min="2573" max="2817" width="9" style="79"/>
    <col min="2818" max="2818" width="12.625" style="79" customWidth="1"/>
    <col min="2819" max="2820" width="6.625" style="79" customWidth="1"/>
    <col min="2821" max="2821" width="21.625" style="79" customWidth="1"/>
    <col min="2822" max="2822" width="28.625" style="79" customWidth="1"/>
    <col min="2823" max="2823" width="5.625" style="79" customWidth="1"/>
    <col min="2824" max="2824" width="8.625" style="79" customWidth="1"/>
    <col min="2825" max="2825" width="9.625" style="79" customWidth="1"/>
    <col min="2826" max="2826" width="8.625" style="79" customWidth="1"/>
    <col min="2827" max="2827" width="18.625" style="79" customWidth="1"/>
    <col min="2828" max="2828" width="8.625" style="79" customWidth="1"/>
    <col min="2829" max="3073" width="9" style="79"/>
    <col min="3074" max="3074" width="12.625" style="79" customWidth="1"/>
    <col min="3075" max="3076" width="6.625" style="79" customWidth="1"/>
    <col min="3077" max="3077" width="21.625" style="79" customWidth="1"/>
    <col min="3078" max="3078" width="28.625" style="79" customWidth="1"/>
    <col min="3079" max="3079" width="5.625" style="79" customWidth="1"/>
    <col min="3080" max="3080" width="8.625" style="79" customWidth="1"/>
    <col min="3081" max="3081" width="9.625" style="79" customWidth="1"/>
    <col min="3082" max="3082" width="8.625" style="79" customWidth="1"/>
    <col min="3083" max="3083" width="18.625" style="79" customWidth="1"/>
    <col min="3084" max="3084" width="8.625" style="79" customWidth="1"/>
    <col min="3085" max="3329" width="9" style="79"/>
    <col min="3330" max="3330" width="12.625" style="79" customWidth="1"/>
    <col min="3331" max="3332" width="6.625" style="79" customWidth="1"/>
    <col min="3333" max="3333" width="21.625" style="79" customWidth="1"/>
    <col min="3334" max="3334" width="28.625" style="79" customWidth="1"/>
    <col min="3335" max="3335" width="5.625" style="79" customWidth="1"/>
    <col min="3336" max="3336" width="8.625" style="79" customWidth="1"/>
    <col min="3337" max="3337" width="9.625" style="79" customWidth="1"/>
    <col min="3338" max="3338" width="8.625" style="79" customWidth="1"/>
    <col min="3339" max="3339" width="18.625" style="79" customWidth="1"/>
    <col min="3340" max="3340" width="8.625" style="79" customWidth="1"/>
    <col min="3341" max="3585" width="9" style="79"/>
    <col min="3586" max="3586" width="12.625" style="79" customWidth="1"/>
    <col min="3587" max="3588" width="6.625" style="79" customWidth="1"/>
    <col min="3589" max="3589" width="21.625" style="79" customWidth="1"/>
    <col min="3590" max="3590" width="28.625" style="79" customWidth="1"/>
    <col min="3591" max="3591" width="5.625" style="79" customWidth="1"/>
    <col min="3592" max="3592" width="8.625" style="79" customWidth="1"/>
    <col min="3593" max="3593" width="9.625" style="79" customWidth="1"/>
    <col min="3594" max="3594" width="8.625" style="79" customWidth="1"/>
    <col min="3595" max="3595" width="18.625" style="79" customWidth="1"/>
    <col min="3596" max="3596" width="8.625" style="79" customWidth="1"/>
    <col min="3597" max="3841" width="9" style="79"/>
    <col min="3842" max="3842" width="12.625" style="79" customWidth="1"/>
    <col min="3843" max="3844" width="6.625" style="79" customWidth="1"/>
    <col min="3845" max="3845" width="21.625" style="79" customWidth="1"/>
    <col min="3846" max="3846" width="28.625" style="79" customWidth="1"/>
    <col min="3847" max="3847" width="5.625" style="79" customWidth="1"/>
    <col min="3848" max="3848" width="8.625" style="79" customWidth="1"/>
    <col min="3849" max="3849" width="9.625" style="79" customWidth="1"/>
    <col min="3850" max="3850" width="8.625" style="79" customWidth="1"/>
    <col min="3851" max="3851" width="18.625" style="79" customWidth="1"/>
    <col min="3852" max="3852" width="8.625" style="79" customWidth="1"/>
    <col min="3853" max="4097" width="9" style="79"/>
    <col min="4098" max="4098" width="12.625" style="79" customWidth="1"/>
    <col min="4099" max="4100" width="6.625" style="79" customWidth="1"/>
    <col min="4101" max="4101" width="21.625" style="79" customWidth="1"/>
    <col min="4102" max="4102" width="28.625" style="79" customWidth="1"/>
    <col min="4103" max="4103" width="5.625" style="79" customWidth="1"/>
    <col min="4104" max="4104" width="8.625" style="79" customWidth="1"/>
    <col min="4105" max="4105" width="9.625" style="79" customWidth="1"/>
    <col min="4106" max="4106" width="8.625" style="79" customWidth="1"/>
    <col min="4107" max="4107" width="18.625" style="79" customWidth="1"/>
    <col min="4108" max="4108" width="8.625" style="79" customWidth="1"/>
    <col min="4109" max="4353" width="9" style="79"/>
    <col min="4354" max="4354" width="12.625" style="79" customWidth="1"/>
    <col min="4355" max="4356" width="6.625" style="79" customWidth="1"/>
    <col min="4357" max="4357" width="21.625" style="79" customWidth="1"/>
    <col min="4358" max="4358" width="28.625" style="79" customWidth="1"/>
    <col min="4359" max="4359" width="5.625" style="79" customWidth="1"/>
    <col min="4360" max="4360" width="8.625" style="79" customWidth="1"/>
    <col min="4361" max="4361" width="9.625" style="79" customWidth="1"/>
    <col min="4362" max="4362" width="8.625" style="79" customWidth="1"/>
    <col min="4363" max="4363" width="18.625" style="79" customWidth="1"/>
    <col min="4364" max="4364" width="8.625" style="79" customWidth="1"/>
    <col min="4365" max="4609" width="9" style="79"/>
    <col min="4610" max="4610" width="12.625" style="79" customWidth="1"/>
    <col min="4611" max="4612" width="6.625" style="79" customWidth="1"/>
    <col min="4613" max="4613" width="21.625" style="79" customWidth="1"/>
    <col min="4614" max="4614" width="28.625" style="79" customWidth="1"/>
    <col min="4615" max="4615" width="5.625" style="79" customWidth="1"/>
    <col min="4616" max="4616" width="8.625" style="79" customWidth="1"/>
    <col min="4617" max="4617" width="9.625" style="79" customWidth="1"/>
    <col min="4618" max="4618" width="8.625" style="79" customWidth="1"/>
    <col min="4619" max="4619" width="18.625" style="79" customWidth="1"/>
    <col min="4620" max="4620" width="8.625" style="79" customWidth="1"/>
    <col min="4621" max="4865" width="9" style="79"/>
    <col min="4866" max="4866" width="12.625" style="79" customWidth="1"/>
    <col min="4867" max="4868" width="6.625" style="79" customWidth="1"/>
    <col min="4869" max="4869" width="21.625" style="79" customWidth="1"/>
    <col min="4870" max="4870" width="28.625" style="79" customWidth="1"/>
    <col min="4871" max="4871" width="5.625" style="79" customWidth="1"/>
    <col min="4872" max="4872" width="8.625" style="79" customWidth="1"/>
    <col min="4873" max="4873" width="9.625" style="79" customWidth="1"/>
    <col min="4874" max="4874" width="8.625" style="79" customWidth="1"/>
    <col min="4875" max="4875" width="18.625" style="79" customWidth="1"/>
    <col min="4876" max="4876" width="8.625" style="79" customWidth="1"/>
    <col min="4877" max="5121" width="9" style="79"/>
    <col min="5122" max="5122" width="12.625" style="79" customWidth="1"/>
    <col min="5123" max="5124" width="6.625" style="79" customWidth="1"/>
    <col min="5125" max="5125" width="21.625" style="79" customWidth="1"/>
    <col min="5126" max="5126" width="28.625" style="79" customWidth="1"/>
    <col min="5127" max="5127" width="5.625" style="79" customWidth="1"/>
    <col min="5128" max="5128" width="8.625" style="79" customWidth="1"/>
    <col min="5129" max="5129" width="9.625" style="79" customWidth="1"/>
    <col min="5130" max="5130" width="8.625" style="79" customWidth="1"/>
    <col min="5131" max="5131" width="18.625" style="79" customWidth="1"/>
    <col min="5132" max="5132" width="8.625" style="79" customWidth="1"/>
    <col min="5133" max="5377" width="9" style="79"/>
    <col min="5378" max="5378" width="12.625" style="79" customWidth="1"/>
    <col min="5379" max="5380" width="6.625" style="79" customWidth="1"/>
    <col min="5381" max="5381" width="21.625" style="79" customWidth="1"/>
    <col min="5382" max="5382" width="28.625" style="79" customWidth="1"/>
    <col min="5383" max="5383" width="5.625" style="79" customWidth="1"/>
    <col min="5384" max="5384" width="8.625" style="79" customWidth="1"/>
    <col min="5385" max="5385" width="9.625" style="79" customWidth="1"/>
    <col min="5386" max="5386" width="8.625" style="79" customWidth="1"/>
    <col min="5387" max="5387" width="18.625" style="79" customWidth="1"/>
    <col min="5388" max="5388" width="8.625" style="79" customWidth="1"/>
    <col min="5389" max="5633" width="9" style="79"/>
    <col min="5634" max="5634" width="12.625" style="79" customWidth="1"/>
    <col min="5635" max="5636" width="6.625" style="79" customWidth="1"/>
    <col min="5637" max="5637" width="21.625" style="79" customWidth="1"/>
    <col min="5638" max="5638" width="28.625" style="79" customWidth="1"/>
    <col min="5639" max="5639" width="5.625" style="79" customWidth="1"/>
    <col min="5640" max="5640" width="8.625" style="79" customWidth="1"/>
    <col min="5641" max="5641" width="9.625" style="79" customWidth="1"/>
    <col min="5642" max="5642" width="8.625" style="79" customWidth="1"/>
    <col min="5643" max="5643" width="18.625" style="79" customWidth="1"/>
    <col min="5644" max="5644" width="8.625" style="79" customWidth="1"/>
    <col min="5645" max="5889" width="9" style="79"/>
    <col min="5890" max="5890" width="12.625" style="79" customWidth="1"/>
    <col min="5891" max="5892" width="6.625" style="79" customWidth="1"/>
    <col min="5893" max="5893" width="21.625" style="79" customWidth="1"/>
    <col min="5894" max="5894" width="28.625" style="79" customWidth="1"/>
    <col min="5895" max="5895" width="5.625" style="79" customWidth="1"/>
    <col min="5896" max="5896" width="8.625" style="79" customWidth="1"/>
    <col min="5897" max="5897" width="9.625" style="79" customWidth="1"/>
    <col min="5898" max="5898" width="8.625" style="79" customWidth="1"/>
    <col min="5899" max="5899" width="18.625" style="79" customWidth="1"/>
    <col min="5900" max="5900" width="8.625" style="79" customWidth="1"/>
    <col min="5901" max="6145" width="9" style="79"/>
    <col min="6146" max="6146" width="12.625" style="79" customWidth="1"/>
    <col min="6147" max="6148" width="6.625" style="79" customWidth="1"/>
    <col min="6149" max="6149" width="21.625" style="79" customWidth="1"/>
    <col min="6150" max="6150" width="28.625" style="79" customWidth="1"/>
    <col min="6151" max="6151" width="5.625" style="79" customWidth="1"/>
    <col min="6152" max="6152" width="8.625" style="79" customWidth="1"/>
    <col min="6153" max="6153" width="9.625" style="79" customWidth="1"/>
    <col min="6154" max="6154" width="8.625" style="79" customWidth="1"/>
    <col min="6155" max="6155" width="18.625" style="79" customWidth="1"/>
    <col min="6156" max="6156" width="8.625" style="79" customWidth="1"/>
    <col min="6157" max="6401" width="9" style="79"/>
    <col min="6402" max="6402" width="12.625" style="79" customWidth="1"/>
    <col min="6403" max="6404" width="6.625" style="79" customWidth="1"/>
    <col min="6405" max="6405" width="21.625" style="79" customWidth="1"/>
    <col min="6406" max="6406" width="28.625" style="79" customWidth="1"/>
    <col min="6407" max="6407" width="5.625" style="79" customWidth="1"/>
    <col min="6408" max="6408" width="8.625" style="79" customWidth="1"/>
    <col min="6409" max="6409" width="9.625" style="79" customWidth="1"/>
    <col min="6410" max="6410" width="8.625" style="79" customWidth="1"/>
    <col min="6411" max="6411" width="18.625" style="79" customWidth="1"/>
    <col min="6412" max="6412" width="8.625" style="79" customWidth="1"/>
    <col min="6413" max="6657" width="9" style="79"/>
    <col min="6658" max="6658" width="12.625" style="79" customWidth="1"/>
    <col min="6659" max="6660" width="6.625" style="79" customWidth="1"/>
    <col min="6661" max="6661" width="21.625" style="79" customWidth="1"/>
    <col min="6662" max="6662" width="28.625" style="79" customWidth="1"/>
    <col min="6663" max="6663" width="5.625" style="79" customWidth="1"/>
    <col min="6664" max="6664" width="8.625" style="79" customWidth="1"/>
    <col min="6665" max="6665" width="9.625" style="79" customWidth="1"/>
    <col min="6666" max="6666" width="8.625" style="79" customWidth="1"/>
    <col min="6667" max="6667" width="18.625" style="79" customWidth="1"/>
    <col min="6668" max="6668" width="8.625" style="79" customWidth="1"/>
    <col min="6669" max="6913" width="9" style="79"/>
    <col min="6914" max="6914" width="12.625" style="79" customWidth="1"/>
    <col min="6915" max="6916" width="6.625" style="79" customWidth="1"/>
    <col min="6917" max="6917" width="21.625" style="79" customWidth="1"/>
    <col min="6918" max="6918" width="28.625" style="79" customWidth="1"/>
    <col min="6919" max="6919" width="5.625" style="79" customWidth="1"/>
    <col min="6920" max="6920" width="8.625" style="79" customWidth="1"/>
    <col min="6921" max="6921" width="9.625" style="79" customWidth="1"/>
    <col min="6922" max="6922" width="8.625" style="79" customWidth="1"/>
    <col min="6923" max="6923" width="18.625" style="79" customWidth="1"/>
    <col min="6924" max="6924" width="8.625" style="79" customWidth="1"/>
    <col min="6925" max="7169" width="9" style="79"/>
    <col min="7170" max="7170" width="12.625" style="79" customWidth="1"/>
    <col min="7171" max="7172" width="6.625" style="79" customWidth="1"/>
    <col min="7173" max="7173" width="21.625" style="79" customWidth="1"/>
    <col min="7174" max="7174" width="28.625" style="79" customWidth="1"/>
    <col min="7175" max="7175" width="5.625" style="79" customWidth="1"/>
    <col min="7176" max="7176" width="8.625" style="79" customWidth="1"/>
    <col min="7177" max="7177" width="9.625" style="79" customWidth="1"/>
    <col min="7178" max="7178" width="8.625" style="79" customWidth="1"/>
    <col min="7179" max="7179" width="18.625" style="79" customWidth="1"/>
    <col min="7180" max="7180" width="8.625" style="79" customWidth="1"/>
    <col min="7181" max="7425" width="9" style="79"/>
    <col min="7426" max="7426" width="12.625" style="79" customWidth="1"/>
    <col min="7427" max="7428" width="6.625" style="79" customWidth="1"/>
    <col min="7429" max="7429" width="21.625" style="79" customWidth="1"/>
    <col min="7430" max="7430" width="28.625" style="79" customWidth="1"/>
    <col min="7431" max="7431" width="5.625" style="79" customWidth="1"/>
    <col min="7432" max="7432" width="8.625" style="79" customWidth="1"/>
    <col min="7433" max="7433" width="9.625" style="79" customWidth="1"/>
    <col min="7434" max="7434" width="8.625" style="79" customWidth="1"/>
    <col min="7435" max="7435" width="18.625" style="79" customWidth="1"/>
    <col min="7436" max="7436" width="8.625" style="79" customWidth="1"/>
    <col min="7437" max="7681" width="9" style="79"/>
    <col min="7682" max="7682" width="12.625" style="79" customWidth="1"/>
    <col min="7683" max="7684" width="6.625" style="79" customWidth="1"/>
    <col min="7685" max="7685" width="21.625" style="79" customWidth="1"/>
    <col min="7686" max="7686" width="28.625" style="79" customWidth="1"/>
    <col min="7687" max="7687" width="5.625" style="79" customWidth="1"/>
    <col min="7688" max="7688" width="8.625" style="79" customWidth="1"/>
    <col min="7689" max="7689" width="9.625" style="79" customWidth="1"/>
    <col min="7690" max="7690" width="8.625" style="79" customWidth="1"/>
    <col min="7691" max="7691" width="18.625" style="79" customWidth="1"/>
    <col min="7692" max="7692" width="8.625" style="79" customWidth="1"/>
    <col min="7693" max="7937" width="9" style="79"/>
    <col min="7938" max="7938" width="12.625" style="79" customWidth="1"/>
    <col min="7939" max="7940" width="6.625" style="79" customWidth="1"/>
    <col min="7941" max="7941" width="21.625" style="79" customWidth="1"/>
    <col min="7942" max="7942" width="28.625" style="79" customWidth="1"/>
    <col min="7943" max="7943" width="5.625" style="79" customWidth="1"/>
    <col min="7944" max="7944" width="8.625" style="79" customWidth="1"/>
    <col min="7945" max="7945" width="9.625" style="79" customWidth="1"/>
    <col min="7946" max="7946" width="8.625" style="79" customWidth="1"/>
    <col min="7947" max="7947" width="18.625" style="79" customWidth="1"/>
    <col min="7948" max="7948" width="8.625" style="79" customWidth="1"/>
    <col min="7949" max="8193" width="9" style="79"/>
    <col min="8194" max="8194" width="12.625" style="79" customWidth="1"/>
    <col min="8195" max="8196" width="6.625" style="79" customWidth="1"/>
    <col min="8197" max="8197" width="21.625" style="79" customWidth="1"/>
    <col min="8198" max="8198" width="28.625" style="79" customWidth="1"/>
    <col min="8199" max="8199" width="5.625" style="79" customWidth="1"/>
    <col min="8200" max="8200" width="8.625" style="79" customWidth="1"/>
    <col min="8201" max="8201" width="9.625" style="79" customWidth="1"/>
    <col min="8202" max="8202" width="8.625" style="79" customWidth="1"/>
    <col min="8203" max="8203" width="18.625" style="79" customWidth="1"/>
    <col min="8204" max="8204" width="8.625" style="79" customWidth="1"/>
    <col min="8205" max="8449" width="9" style="79"/>
    <col min="8450" max="8450" width="12.625" style="79" customWidth="1"/>
    <col min="8451" max="8452" width="6.625" style="79" customWidth="1"/>
    <col min="8453" max="8453" width="21.625" style="79" customWidth="1"/>
    <col min="8454" max="8454" width="28.625" style="79" customWidth="1"/>
    <col min="8455" max="8455" width="5.625" style="79" customWidth="1"/>
    <col min="8456" max="8456" width="8.625" style="79" customWidth="1"/>
    <col min="8457" max="8457" width="9.625" style="79" customWidth="1"/>
    <col min="8458" max="8458" width="8.625" style="79" customWidth="1"/>
    <col min="8459" max="8459" width="18.625" style="79" customWidth="1"/>
    <col min="8460" max="8460" width="8.625" style="79" customWidth="1"/>
    <col min="8461" max="8705" width="9" style="79"/>
    <col min="8706" max="8706" width="12.625" style="79" customWidth="1"/>
    <col min="8707" max="8708" width="6.625" style="79" customWidth="1"/>
    <col min="8709" max="8709" width="21.625" style="79" customWidth="1"/>
    <col min="8710" max="8710" width="28.625" style="79" customWidth="1"/>
    <col min="8711" max="8711" width="5.625" style="79" customWidth="1"/>
    <col min="8712" max="8712" width="8.625" style="79" customWidth="1"/>
    <col min="8713" max="8713" width="9.625" style="79" customWidth="1"/>
    <col min="8714" max="8714" width="8.625" style="79" customWidth="1"/>
    <col min="8715" max="8715" width="18.625" style="79" customWidth="1"/>
    <col min="8716" max="8716" width="8.625" style="79" customWidth="1"/>
    <col min="8717" max="8961" width="9" style="79"/>
    <col min="8962" max="8962" width="12.625" style="79" customWidth="1"/>
    <col min="8963" max="8964" width="6.625" style="79" customWidth="1"/>
    <col min="8965" max="8965" width="21.625" style="79" customWidth="1"/>
    <col min="8966" max="8966" width="28.625" style="79" customWidth="1"/>
    <col min="8967" max="8967" width="5.625" style="79" customWidth="1"/>
    <col min="8968" max="8968" width="8.625" style="79" customWidth="1"/>
    <col min="8969" max="8969" width="9.625" style="79" customWidth="1"/>
    <col min="8970" max="8970" width="8.625" style="79" customWidth="1"/>
    <col min="8971" max="8971" width="18.625" style="79" customWidth="1"/>
    <col min="8972" max="8972" width="8.625" style="79" customWidth="1"/>
    <col min="8973" max="9217" width="9" style="79"/>
    <col min="9218" max="9218" width="12.625" style="79" customWidth="1"/>
    <col min="9219" max="9220" width="6.625" style="79" customWidth="1"/>
    <col min="9221" max="9221" width="21.625" style="79" customWidth="1"/>
    <col min="9222" max="9222" width="28.625" style="79" customWidth="1"/>
    <col min="9223" max="9223" width="5.625" style="79" customWidth="1"/>
    <col min="9224" max="9224" width="8.625" style="79" customWidth="1"/>
    <col min="9225" max="9225" width="9.625" style="79" customWidth="1"/>
    <col min="9226" max="9226" width="8.625" style="79" customWidth="1"/>
    <col min="9227" max="9227" width="18.625" style="79" customWidth="1"/>
    <col min="9228" max="9228" width="8.625" style="79" customWidth="1"/>
    <col min="9229" max="9473" width="9" style="79"/>
    <col min="9474" max="9474" width="12.625" style="79" customWidth="1"/>
    <col min="9475" max="9476" width="6.625" style="79" customWidth="1"/>
    <col min="9477" max="9477" width="21.625" style="79" customWidth="1"/>
    <col min="9478" max="9478" width="28.625" style="79" customWidth="1"/>
    <col min="9479" max="9479" width="5.625" style="79" customWidth="1"/>
    <col min="9480" max="9480" width="8.625" style="79" customWidth="1"/>
    <col min="9481" max="9481" width="9.625" style="79" customWidth="1"/>
    <col min="9482" max="9482" width="8.625" style="79" customWidth="1"/>
    <col min="9483" max="9483" width="18.625" style="79" customWidth="1"/>
    <col min="9484" max="9484" width="8.625" style="79" customWidth="1"/>
    <col min="9485" max="9729" width="9" style="79"/>
    <col min="9730" max="9730" width="12.625" style="79" customWidth="1"/>
    <col min="9731" max="9732" width="6.625" style="79" customWidth="1"/>
    <col min="9733" max="9733" width="21.625" style="79" customWidth="1"/>
    <col min="9734" max="9734" width="28.625" style="79" customWidth="1"/>
    <col min="9735" max="9735" width="5.625" style="79" customWidth="1"/>
    <col min="9736" max="9736" width="8.625" style="79" customWidth="1"/>
    <col min="9737" max="9737" width="9.625" style="79" customWidth="1"/>
    <col min="9738" max="9738" width="8.625" style="79" customWidth="1"/>
    <col min="9739" max="9739" width="18.625" style="79" customWidth="1"/>
    <col min="9740" max="9740" width="8.625" style="79" customWidth="1"/>
    <col min="9741" max="9985" width="9" style="79"/>
    <col min="9986" max="9986" width="12.625" style="79" customWidth="1"/>
    <col min="9987" max="9988" width="6.625" style="79" customWidth="1"/>
    <col min="9989" max="9989" width="21.625" style="79" customWidth="1"/>
    <col min="9990" max="9990" width="28.625" style="79" customWidth="1"/>
    <col min="9991" max="9991" width="5.625" style="79" customWidth="1"/>
    <col min="9992" max="9992" width="8.625" style="79" customWidth="1"/>
    <col min="9993" max="9993" width="9.625" style="79" customWidth="1"/>
    <col min="9994" max="9994" width="8.625" style="79" customWidth="1"/>
    <col min="9995" max="9995" width="18.625" style="79" customWidth="1"/>
    <col min="9996" max="9996" width="8.625" style="79" customWidth="1"/>
    <col min="9997" max="10241" width="9" style="79"/>
    <col min="10242" max="10242" width="12.625" style="79" customWidth="1"/>
    <col min="10243" max="10244" width="6.625" style="79" customWidth="1"/>
    <col min="10245" max="10245" width="21.625" style="79" customWidth="1"/>
    <col min="10246" max="10246" width="28.625" style="79" customWidth="1"/>
    <col min="10247" max="10247" width="5.625" style="79" customWidth="1"/>
    <col min="10248" max="10248" width="8.625" style="79" customWidth="1"/>
    <col min="10249" max="10249" width="9.625" style="79" customWidth="1"/>
    <col min="10250" max="10250" width="8.625" style="79" customWidth="1"/>
    <col min="10251" max="10251" width="18.625" style="79" customWidth="1"/>
    <col min="10252" max="10252" width="8.625" style="79" customWidth="1"/>
    <col min="10253" max="10497" width="9" style="79"/>
    <col min="10498" max="10498" width="12.625" style="79" customWidth="1"/>
    <col min="10499" max="10500" width="6.625" style="79" customWidth="1"/>
    <col min="10501" max="10501" width="21.625" style="79" customWidth="1"/>
    <col min="10502" max="10502" width="28.625" style="79" customWidth="1"/>
    <col min="10503" max="10503" width="5.625" style="79" customWidth="1"/>
    <col min="10504" max="10504" width="8.625" style="79" customWidth="1"/>
    <col min="10505" max="10505" width="9.625" style="79" customWidth="1"/>
    <col min="10506" max="10506" width="8.625" style="79" customWidth="1"/>
    <col min="10507" max="10507" width="18.625" style="79" customWidth="1"/>
    <col min="10508" max="10508" width="8.625" style="79" customWidth="1"/>
    <col min="10509" max="10753" width="9" style="79"/>
    <col min="10754" max="10754" width="12.625" style="79" customWidth="1"/>
    <col min="10755" max="10756" width="6.625" style="79" customWidth="1"/>
    <col min="10757" max="10757" width="21.625" style="79" customWidth="1"/>
    <col min="10758" max="10758" width="28.625" style="79" customWidth="1"/>
    <col min="10759" max="10759" width="5.625" style="79" customWidth="1"/>
    <col min="10760" max="10760" width="8.625" style="79" customWidth="1"/>
    <col min="10761" max="10761" width="9.625" style="79" customWidth="1"/>
    <col min="10762" max="10762" width="8.625" style="79" customWidth="1"/>
    <col min="10763" max="10763" width="18.625" style="79" customWidth="1"/>
    <col min="10764" max="10764" width="8.625" style="79" customWidth="1"/>
    <col min="10765" max="11009" width="9" style="79"/>
    <col min="11010" max="11010" width="12.625" style="79" customWidth="1"/>
    <col min="11011" max="11012" width="6.625" style="79" customWidth="1"/>
    <col min="11013" max="11013" width="21.625" style="79" customWidth="1"/>
    <col min="11014" max="11014" width="28.625" style="79" customWidth="1"/>
    <col min="11015" max="11015" width="5.625" style="79" customWidth="1"/>
    <col min="11016" max="11016" width="8.625" style="79" customWidth="1"/>
    <col min="11017" max="11017" width="9.625" style="79" customWidth="1"/>
    <col min="11018" max="11018" width="8.625" style="79" customWidth="1"/>
    <col min="11019" max="11019" width="18.625" style="79" customWidth="1"/>
    <col min="11020" max="11020" width="8.625" style="79" customWidth="1"/>
    <col min="11021" max="11265" width="9" style="79"/>
    <col min="11266" max="11266" width="12.625" style="79" customWidth="1"/>
    <col min="11267" max="11268" width="6.625" style="79" customWidth="1"/>
    <col min="11269" max="11269" width="21.625" style="79" customWidth="1"/>
    <col min="11270" max="11270" width="28.625" style="79" customWidth="1"/>
    <col min="11271" max="11271" width="5.625" style="79" customWidth="1"/>
    <col min="11272" max="11272" width="8.625" style="79" customWidth="1"/>
    <col min="11273" max="11273" width="9.625" style="79" customWidth="1"/>
    <col min="11274" max="11274" width="8.625" style="79" customWidth="1"/>
    <col min="11275" max="11275" width="18.625" style="79" customWidth="1"/>
    <col min="11276" max="11276" width="8.625" style="79" customWidth="1"/>
    <col min="11277" max="11521" width="9" style="79"/>
    <col min="11522" max="11522" width="12.625" style="79" customWidth="1"/>
    <col min="11523" max="11524" width="6.625" style="79" customWidth="1"/>
    <col min="11525" max="11525" width="21.625" style="79" customWidth="1"/>
    <col min="11526" max="11526" width="28.625" style="79" customWidth="1"/>
    <col min="11527" max="11527" width="5.625" style="79" customWidth="1"/>
    <col min="11528" max="11528" width="8.625" style="79" customWidth="1"/>
    <col min="11529" max="11529" width="9.625" style="79" customWidth="1"/>
    <col min="11530" max="11530" width="8.625" style="79" customWidth="1"/>
    <col min="11531" max="11531" width="18.625" style="79" customWidth="1"/>
    <col min="11532" max="11532" width="8.625" style="79" customWidth="1"/>
    <col min="11533" max="11777" width="9" style="79"/>
    <col min="11778" max="11778" width="12.625" style="79" customWidth="1"/>
    <col min="11779" max="11780" width="6.625" style="79" customWidth="1"/>
    <col min="11781" max="11781" width="21.625" style="79" customWidth="1"/>
    <col min="11782" max="11782" width="28.625" style="79" customWidth="1"/>
    <col min="11783" max="11783" width="5.625" style="79" customWidth="1"/>
    <col min="11784" max="11784" width="8.625" style="79" customWidth="1"/>
    <col min="11785" max="11785" width="9.625" style="79" customWidth="1"/>
    <col min="11786" max="11786" width="8.625" style="79" customWidth="1"/>
    <col min="11787" max="11787" width="18.625" style="79" customWidth="1"/>
    <col min="11788" max="11788" width="8.625" style="79" customWidth="1"/>
    <col min="11789" max="12033" width="9" style="79"/>
    <col min="12034" max="12034" width="12.625" style="79" customWidth="1"/>
    <col min="12035" max="12036" width="6.625" style="79" customWidth="1"/>
    <col min="12037" max="12037" width="21.625" style="79" customWidth="1"/>
    <col min="12038" max="12038" width="28.625" style="79" customWidth="1"/>
    <col min="12039" max="12039" width="5.625" style="79" customWidth="1"/>
    <col min="12040" max="12040" width="8.625" style="79" customWidth="1"/>
    <col min="12041" max="12041" width="9.625" style="79" customWidth="1"/>
    <col min="12042" max="12042" width="8.625" style="79" customWidth="1"/>
    <col min="12043" max="12043" width="18.625" style="79" customWidth="1"/>
    <col min="12044" max="12044" width="8.625" style="79" customWidth="1"/>
    <col min="12045" max="12289" width="9" style="79"/>
    <col min="12290" max="12290" width="12.625" style="79" customWidth="1"/>
    <col min="12291" max="12292" width="6.625" style="79" customWidth="1"/>
    <col min="12293" max="12293" width="21.625" style="79" customWidth="1"/>
    <col min="12294" max="12294" width="28.625" style="79" customWidth="1"/>
    <col min="12295" max="12295" width="5.625" style="79" customWidth="1"/>
    <col min="12296" max="12296" width="8.625" style="79" customWidth="1"/>
    <col min="12297" max="12297" width="9.625" style="79" customWidth="1"/>
    <col min="12298" max="12298" width="8.625" style="79" customWidth="1"/>
    <col min="12299" max="12299" width="18.625" style="79" customWidth="1"/>
    <col min="12300" max="12300" width="8.625" style="79" customWidth="1"/>
    <col min="12301" max="12545" width="9" style="79"/>
    <col min="12546" max="12546" width="12.625" style="79" customWidth="1"/>
    <col min="12547" max="12548" width="6.625" style="79" customWidth="1"/>
    <col min="12549" max="12549" width="21.625" style="79" customWidth="1"/>
    <col min="12550" max="12550" width="28.625" style="79" customWidth="1"/>
    <col min="12551" max="12551" width="5.625" style="79" customWidth="1"/>
    <col min="12552" max="12552" width="8.625" style="79" customWidth="1"/>
    <col min="12553" max="12553" width="9.625" style="79" customWidth="1"/>
    <col min="12554" max="12554" width="8.625" style="79" customWidth="1"/>
    <col min="12555" max="12555" width="18.625" style="79" customWidth="1"/>
    <col min="12556" max="12556" width="8.625" style="79" customWidth="1"/>
    <col min="12557" max="12801" width="9" style="79"/>
    <col min="12802" max="12802" width="12.625" style="79" customWidth="1"/>
    <col min="12803" max="12804" width="6.625" style="79" customWidth="1"/>
    <col min="12805" max="12805" width="21.625" style="79" customWidth="1"/>
    <col min="12806" max="12806" width="28.625" style="79" customWidth="1"/>
    <col min="12807" max="12807" width="5.625" style="79" customWidth="1"/>
    <col min="12808" max="12808" width="8.625" style="79" customWidth="1"/>
    <col min="12809" max="12809" width="9.625" style="79" customWidth="1"/>
    <col min="12810" max="12810" width="8.625" style="79" customWidth="1"/>
    <col min="12811" max="12811" width="18.625" style="79" customWidth="1"/>
    <col min="12812" max="12812" width="8.625" style="79" customWidth="1"/>
    <col min="12813" max="13057" width="9" style="79"/>
    <col min="13058" max="13058" width="12.625" style="79" customWidth="1"/>
    <col min="13059" max="13060" width="6.625" style="79" customWidth="1"/>
    <col min="13061" max="13061" width="21.625" style="79" customWidth="1"/>
    <col min="13062" max="13062" width="28.625" style="79" customWidth="1"/>
    <col min="13063" max="13063" width="5.625" style="79" customWidth="1"/>
    <col min="13064" max="13064" width="8.625" style="79" customWidth="1"/>
    <col min="13065" max="13065" width="9.625" style="79" customWidth="1"/>
    <col min="13066" max="13066" width="8.625" style="79" customWidth="1"/>
    <col min="13067" max="13067" width="18.625" style="79" customWidth="1"/>
    <col min="13068" max="13068" width="8.625" style="79" customWidth="1"/>
    <col min="13069" max="13313" width="9" style="79"/>
    <col min="13314" max="13314" width="12.625" style="79" customWidth="1"/>
    <col min="13315" max="13316" width="6.625" style="79" customWidth="1"/>
    <col min="13317" max="13317" width="21.625" style="79" customWidth="1"/>
    <col min="13318" max="13318" width="28.625" style="79" customWidth="1"/>
    <col min="13319" max="13319" width="5.625" style="79" customWidth="1"/>
    <col min="13320" max="13320" width="8.625" style="79" customWidth="1"/>
    <col min="13321" max="13321" width="9.625" style="79" customWidth="1"/>
    <col min="13322" max="13322" width="8.625" style="79" customWidth="1"/>
    <col min="13323" max="13323" width="18.625" style="79" customWidth="1"/>
    <col min="13324" max="13324" width="8.625" style="79" customWidth="1"/>
    <col min="13325" max="13569" width="9" style="79"/>
    <col min="13570" max="13570" width="12.625" style="79" customWidth="1"/>
    <col min="13571" max="13572" width="6.625" style="79" customWidth="1"/>
    <col min="13573" max="13573" width="21.625" style="79" customWidth="1"/>
    <col min="13574" max="13574" width="28.625" style="79" customWidth="1"/>
    <col min="13575" max="13575" width="5.625" style="79" customWidth="1"/>
    <col min="13576" max="13576" width="8.625" style="79" customWidth="1"/>
    <col min="13577" max="13577" width="9.625" style="79" customWidth="1"/>
    <col min="13578" max="13578" width="8.625" style="79" customWidth="1"/>
    <col min="13579" max="13579" width="18.625" style="79" customWidth="1"/>
    <col min="13580" max="13580" width="8.625" style="79" customWidth="1"/>
    <col min="13581" max="13825" width="9" style="79"/>
    <col min="13826" max="13826" width="12.625" style="79" customWidth="1"/>
    <col min="13827" max="13828" width="6.625" style="79" customWidth="1"/>
    <col min="13829" max="13829" width="21.625" style="79" customWidth="1"/>
    <col min="13830" max="13830" width="28.625" style="79" customWidth="1"/>
    <col min="13831" max="13831" width="5.625" style="79" customWidth="1"/>
    <col min="13832" max="13832" width="8.625" style="79" customWidth="1"/>
    <col min="13833" max="13833" width="9.625" style="79" customWidth="1"/>
    <col min="13834" max="13834" width="8.625" style="79" customWidth="1"/>
    <col min="13835" max="13835" width="18.625" style="79" customWidth="1"/>
    <col min="13836" max="13836" width="8.625" style="79" customWidth="1"/>
    <col min="13837" max="14081" width="9" style="79"/>
    <col min="14082" max="14082" width="12.625" style="79" customWidth="1"/>
    <col min="14083" max="14084" width="6.625" style="79" customWidth="1"/>
    <col min="14085" max="14085" width="21.625" style="79" customWidth="1"/>
    <col min="14086" max="14086" width="28.625" style="79" customWidth="1"/>
    <col min="14087" max="14087" width="5.625" style="79" customWidth="1"/>
    <col min="14088" max="14088" width="8.625" style="79" customWidth="1"/>
    <col min="14089" max="14089" width="9.625" style="79" customWidth="1"/>
    <col min="14090" max="14090" width="8.625" style="79" customWidth="1"/>
    <col min="14091" max="14091" width="18.625" style="79" customWidth="1"/>
    <col min="14092" max="14092" width="8.625" style="79" customWidth="1"/>
    <col min="14093" max="14337" width="9" style="79"/>
    <col min="14338" max="14338" width="12.625" style="79" customWidth="1"/>
    <col min="14339" max="14340" width="6.625" style="79" customWidth="1"/>
    <col min="14341" max="14341" width="21.625" style="79" customWidth="1"/>
    <col min="14342" max="14342" width="28.625" style="79" customWidth="1"/>
    <col min="14343" max="14343" width="5.625" style="79" customWidth="1"/>
    <col min="14344" max="14344" width="8.625" style="79" customWidth="1"/>
    <col min="14345" max="14345" width="9.625" style="79" customWidth="1"/>
    <col min="14346" max="14346" width="8.625" style="79" customWidth="1"/>
    <col min="14347" max="14347" width="18.625" style="79" customWidth="1"/>
    <col min="14348" max="14348" width="8.625" style="79" customWidth="1"/>
    <col min="14349" max="14593" width="9" style="79"/>
    <col min="14594" max="14594" width="12.625" style="79" customWidth="1"/>
    <col min="14595" max="14596" width="6.625" style="79" customWidth="1"/>
    <col min="14597" max="14597" width="21.625" style="79" customWidth="1"/>
    <col min="14598" max="14598" width="28.625" style="79" customWidth="1"/>
    <col min="14599" max="14599" width="5.625" style="79" customWidth="1"/>
    <col min="14600" max="14600" width="8.625" style="79" customWidth="1"/>
    <col min="14601" max="14601" width="9.625" style="79" customWidth="1"/>
    <col min="14602" max="14602" width="8.625" style="79" customWidth="1"/>
    <col min="14603" max="14603" width="18.625" style="79" customWidth="1"/>
    <col min="14604" max="14604" width="8.625" style="79" customWidth="1"/>
    <col min="14605" max="14849" width="9" style="79"/>
    <col min="14850" max="14850" width="12.625" style="79" customWidth="1"/>
    <col min="14851" max="14852" width="6.625" style="79" customWidth="1"/>
    <col min="14853" max="14853" width="21.625" style="79" customWidth="1"/>
    <col min="14854" max="14854" width="28.625" style="79" customWidth="1"/>
    <col min="14855" max="14855" width="5.625" style="79" customWidth="1"/>
    <col min="14856" max="14856" width="8.625" style="79" customWidth="1"/>
    <col min="14857" max="14857" width="9.625" style="79" customWidth="1"/>
    <col min="14858" max="14858" width="8.625" style="79" customWidth="1"/>
    <col min="14859" max="14859" width="18.625" style="79" customWidth="1"/>
    <col min="14860" max="14860" width="8.625" style="79" customWidth="1"/>
    <col min="14861" max="15105" width="9" style="79"/>
    <col min="15106" max="15106" width="12.625" style="79" customWidth="1"/>
    <col min="15107" max="15108" width="6.625" style="79" customWidth="1"/>
    <col min="15109" max="15109" width="21.625" style="79" customWidth="1"/>
    <col min="15110" max="15110" width="28.625" style="79" customWidth="1"/>
    <col min="15111" max="15111" width="5.625" style="79" customWidth="1"/>
    <col min="15112" max="15112" width="8.625" style="79" customWidth="1"/>
    <col min="15113" max="15113" width="9.625" style="79" customWidth="1"/>
    <col min="15114" max="15114" width="8.625" style="79" customWidth="1"/>
    <col min="15115" max="15115" width="18.625" style="79" customWidth="1"/>
    <col min="15116" max="15116" width="8.625" style="79" customWidth="1"/>
    <col min="15117" max="15361" width="9" style="79"/>
    <col min="15362" max="15362" width="12.625" style="79" customWidth="1"/>
    <col min="15363" max="15364" width="6.625" style="79" customWidth="1"/>
    <col min="15365" max="15365" width="21.625" style="79" customWidth="1"/>
    <col min="15366" max="15366" width="28.625" style="79" customWidth="1"/>
    <col min="15367" max="15367" width="5.625" style="79" customWidth="1"/>
    <col min="15368" max="15368" width="8.625" style="79" customWidth="1"/>
    <col min="15369" max="15369" width="9.625" style="79" customWidth="1"/>
    <col min="15370" max="15370" width="8.625" style="79" customWidth="1"/>
    <col min="15371" max="15371" width="18.625" style="79" customWidth="1"/>
    <col min="15372" max="15372" width="8.625" style="79" customWidth="1"/>
    <col min="15373" max="15617" width="9" style="79"/>
    <col min="15618" max="15618" width="12.625" style="79" customWidth="1"/>
    <col min="15619" max="15620" width="6.625" style="79" customWidth="1"/>
    <col min="15621" max="15621" width="21.625" style="79" customWidth="1"/>
    <col min="15622" max="15622" width="28.625" style="79" customWidth="1"/>
    <col min="15623" max="15623" width="5.625" style="79" customWidth="1"/>
    <col min="15624" max="15624" width="8.625" style="79" customWidth="1"/>
    <col min="15625" max="15625" width="9.625" style="79" customWidth="1"/>
    <col min="15626" max="15626" width="8.625" style="79" customWidth="1"/>
    <col min="15627" max="15627" width="18.625" style="79" customWidth="1"/>
    <col min="15628" max="15628" width="8.625" style="79" customWidth="1"/>
    <col min="15629" max="15873" width="9" style="79"/>
    <col min="15874" max="15874" width="12.625" style="79" customWidth="1"/>
    <col min="15875" max="15876" width="6.625" style="79" customWidth="1"/>
    <col min="15877" max="15877" width="21.625" style="79" customWidth="1"/>
    <col min="15878" max="15878" width="28.625" style="79" customWidth="1"/>
    <col min="15879" max="15879" width="5.625" style="79" customWidth="1"/>
    <col min="15880" max="15880" width="8.625" style="79" customWidth="1"/>
    <col min="15881" max="15881" width="9.625" style="79" customWidth="1"/>
    <col min="15882" max="15882" width="8.625" style="79" customWidth="1"/>
    <col min="15883" max="15883" width="18.625" style="79" customWidth="1"/>
    <col min="15884" max="15884" width="8.625" style="79" customWidth="1"/>
    <col min="15885" max="16129" width="9" style="79"/>
    <col min="16130" max="16130" width="12.625" style="79" customWidth="1"/>
    <col min="16131" max="16132" width="6.625" style="79" customWidth="1"/>
    <col min="16133" max="16133" width="21.625" style="79" customWidth="1"/>
    <col min="16134" max="16134" width="28.625" style="79" customWidth="1"/>
    <col min="16135" max="16135" width="5.625" style="79" customWidth="1"/>
    <col min="16136" max="16136" width="8.625" style="79" customWidth="1"/>
    <col min="16137" max="16137" width="9.625" style="79" customWidth="1"/>
    <col min="16138" max="16138" width="8.625" style="79" customWidth="1"/>
    <col min="16139" max="16139" width="18.625" style="79" customWidth="1"/>
    <col min="16140" max="16140" width="8.625" style="79" customWidth="1"/>
    <col min="16141" max="16384" width="9" style="79"/>
  </cols>
  <sheetData>
    <row r="1" spans="1:15" s="84" customFormat="1" ht="21.6" customHeight="1" thickBot="1" x14ac:dyDescent="0.3">
      <c r="A1" s="138" t="s">
        <v>27</v>
      </c>
      <c r="B1" s="249" t="s">
        <v>12</v>
      </c>
      <c r="C1" s="249" t="s">
        <v>19</v>
      </c>
      <c r="D1" s="250" t="s">
        <v>73</v>
      </c>
      <c r="E1" s="271" t="s">
        <v>40</v>
      </c>
      <c r="F1" s="272" t="s">
        <v>41</v>
      </c>
      <c r="G1" s="248" t="s">
        <v>11</v>
      </c>
      <c r="H1" s="356" t="s">
        <v>9</v>
      </c>
      <c r="I1" s="377" t="s">
        <v>22</v>
      </c>
      <c r="J1" s="81" t="s">
        <v>24</v>
      </c>
      <c r="K1" s="81" t="s">
        <v>16</v>
      </c>
      <c r="L1" s="81" t="s">
        <v>18</v>
      </c>
      <c r="M1" s="81" t="s">
        <v>17</v>
      </c>
      <c r="N1" s="83" t="s">
        <v>13</v>
      </c>
      <c r="O1" s="376"/>
    </row>
    <row r="2" spans="1:15" s="245" customFormat="1" ht="21.6" customHeight="1" x14ac:dyDescent="0.25">
      <c r="A2" s="251">
        <v>20250331</v>
      </c>
      <c r="B2" s="252"/>
      <c r="C2" s="253" t="s">
        <v>46</v>
      </c>
      <c r="D2" s="254">
        <v>10</v>
      </c>
      <c r="E2" s="255">
        <v>590</v>
      </c>
      <c r="F2" s="256">
        <f>SUM(D2*E2)</f>
        <v>5900</v>
      </c>
      <c r="G2" s="162" t="s">
        <v>96</v>
      </c>
      <c r="H2" s="357">
        <v>45812</v>
      </c>
      <c r="I2" s="378"/>
      <c r="N2" s="70" t="s">
        <v>25</v>
      </c>
      <c r="O2" s="376"/>
    </row>
    <row r="3" spans="1:15" s="245" customFormat="1" ht="21.6" customHeight="1" x14ac:dyDescent="0.25">
      <c r="A3" s="257">
        <v>20250331</v>
      </c>
      <c r="C3" s="93" t="s">
        <v>47</v>
      </c>
      <c r="D3" s="99">
        <v>5</v>
      </c>
      <c r="E3" s="247">
        <v>500</v>
      </c>
      <c r="F3" s="246">
        <f t="shared" ref="F3:F18" si="0">SUM(D3*E3)</f>
        <v>2500</v>
      </c>
      <c r="G3" s="103" t="s">
        <v>96</v>
      </c>
      <c r="H3" s="358">
        <v>45812</v>
      </c>
      <c r="I3" s="378"/>
      <c r="N3" s="70" t="s">
        <v>25</v>
      </c>
      <c r="O3" s="376"/>
    </row>
    <row r="4" spans="1:15" s="245" customFormat="1" ht="21.6" customHeight="1" x14ac:dyDescent="0.25">
      <c r="A4" s="257">
        <v>20250331</v>
      </c>
      <c r="C4" s="93" t="s">
        <v>48</v>
      </c>
      <c r="D4" s="99">
        <v>5</v>
      </c>
      <c r="E4" s="247">
        <v>590</v>
      </c>
      <c r="F4" s="246">
        <f t="shared" si="0"/>
        <v>2950</v>
      </c>
      <c r="G4" s="103" t="s">
        <v>96</v>
      </c>
      <c r="H4" s="358">
        <v>45812</v>
      </c>
      <c r="I4" s="378"/>
      <c r="N4" s="70" t="s">
        <v>25</v>
      </c>
      <c r="O4" s="376"/>
    </row>
    <row r="5" spans="1:15" s="245" customFormat="1" ht="21.6" customHeight="1" x14ac:dyDescent="0.25">
      <c r="A5" s="257">
        <v>20250331</v>
      </c>
      <c r="C5" s="93" t="s">
        <v>49</v>
      </c>
      <c r="D5" s="99">
        <v>20</v>
      </c>
      <c r="E5" s="247">
        <v>2779</v>
      </c>
      <c r="F5" s="246">
        <f t="shared" si="0"/>
        <v>55580</v>
      </c>
      <c r="G5" s="103" t="s">
        <v>96</v>
      </c>
      <c r="H5" s="358">
        <v>45812</v>
      </c>
      <c r="I5" s="378"/>
      <c r="N5" s="70" t="s">
        <v>25</v>
      </c>
      <c r="O5" s="376"/>
    </row>
    <row r="6" spans="1:15" s="245" customFormat="1" ht="21.6" customHeight="1" x14ac:dyDescent="0.25">
      <c r="A6" s="257">
        <v>20250331</v>
      </c>
      <c r="C6" s="93" t="s">
        <v>51</v>
      </c>
      <c r="D6" s="99">
        <v>10</v>
      </c>
      <c r="E6" s="247">
        <v>690</v>
      </c>
      <c r="F6" s="246">
        <f t="shared" si="0"/>
        <v>6900</v>
      </c>
      <c r="G6" s="103" t="s">
        <v>96</v>
      </c>
      <c r="H6" s="358">
        <v>45812</v>
      </c>
      <c r="I6" s="378"/>
      <c r="N6" s="70" t="s">
        <v>25</v>
      </c>
      <c r="O6" s="376"/>
    </row>
    <row r="7" spans="1:15" s="245" customFormat="1" ht="21.6" customHeight="1" x14ac:dyDescent="0.25">
      <c r="A7" s="257">
        <v>20250331</v>
      </c>
      <c r="C7" s="93" t="s">
        <v>52</v>
      </c>
      <c r="D7" s="99">
        <v>10</v>
      </c>
      <c r="E7" s="247">
        <v>690</v>
      </c>
      <c r="F7" s="246">
        <f t="shared" si="0"/>
        <v>6900</v>
      </c>
      <c r="G7" s="103" t="s">
        <v>96</v>
      </c>
      <c r="H7" s="358">
        <v>45852</v>
      </c>
      <c r="I7" s="378" t="s">
        <v>109</v>
      </c>
      <c r="N7" s="70" t="s">
        <v>25</v>
      </c>
      <c r="O7" s="376"/>
    </row>
    <row r="8" spans="1:15" s="245" customFormat="1" ht="21.6" customHeight="1" x14ac:dyDescent="0.25">
      <c r="A8" s="257">
        <v>20250331</v>
      </c>
      <c r="C8" s="93" t="s">
        <v>53</v>
      </c>
      <c r="D8" s="99">
        <v>10</v>
      </c>
      <c r="E8" s="247">
        <v>540</v>
      </c>
      <c r="F8" s="246">
        <f t="shared" si="0"/>
        <v>5400</v>
      </c>
      <c r="G8" s="103" t="s">
        <v>96</v>
      </c>
      <c r="H8" s="358">
        <v>45812</v>
      </c>
      <c r="I8" s="378" t="s">
        <v>110</v>
      </c>
      <c r="N8" s="70" t="s">
        <v>25</v>
      </c>
      <c r="O8" s="376"/>
    </row>
    <row r="9" spans="1:15" s="245" customFormat="1" ht="21.6" customHeight="1" x14ac:dyDescent="0.25">
      <c r="A9" s="257">
        <v>20250331</v>
      </c>
      <c r="C9" s="93" t="s">
        <v>54</v>
      </c>
      <c r="D9" s="99">
        <v>20</v>
      </c>
      <c r="E9" s="247">
        <v>560</v>
      </c>
      <c r="F9" s="246">
        <f t="shared" si="0"/>
        <v>11200</v>
      </c>
      <c r="G9" s="103" t="s">
        <v>96</v>
      </c>
      <c r="H9" s="358">
        <v>45812</v>
      </c>
      <c r="I9" s="378" t="s">
        <v>108</v>
      </c>
      <c r="N9" s="70" t="s">
        <v>25</v>
      </c>
      <c r="O9" s="376"/>
    </row>
    <row r="10" spans="1:15" s="245" customFormat="1" ht="21.6" customHeight="1" x14ac:dyDescent="0.25">
      <c r="A10" s="257">
        <v>20250331</v>
      </c>
      <c r="C10" s="93" t="s">
        <v>55</v>
      </c>
      <c r="D10" s="99">
        <v>5</v>
      </c>
      <c r="E10" s="247">
        <v>7300</v>
      </c>
      <c r="F10" s="246">
        <f t="shared" si="0"/>
        <v>36500</v>
      </c>
      <c r="G10" s="103" t="s">
        <v>96</v>
      </c>
      <c r="H10" s="358">
        <v>45812</v>
      </c>
      <c r="I10" s="378" t="s">
        <v>111</v>
      </c>
      <c r="N10" s="70" t="s">
        <v>25</v>
      </c>
      <c r="O10" s="376"/>
    </row>
    <row r="11" spans="1:15" s="245" customFormat="1" ht="21.6" customHeight="1" x14ac:dyDescent="0.25">
      <c r="A11" s="265">
        <v>20250331</v>
      </c>
      <c r="C11" s="93" t="s">
        <v>57</v>
      </c>
      <c r="D11" s="99">
        <v>5</v>
      </c>
      <c r="E11" s="247">
        <v>7300</v>
      </c>
      <c r="F11" s="246">
        <f t="shared" si="0"/>
        <v>36500</v>
      </c>
      <c r="G11" s="103" t="s">
        <v>96</v>
      </c>
      <c r="H11" s="359">
        <v>45812</v>
      </c>
      <c r="I11" s="378" t="s">
        <v>112</v>
      </c>
      <c r="N11" s="70" t="s">
        <v>25</v>
      </c>
      <c r="O11" s="376"/>
    </row>
    <row r="12" spans="1:15" s="245" customFormat="1" ht="21.6" customHeight="1" x14ac:dyDescent="0.25">
      <c r="A12" s="265">
        <v>20250331</v>
      </c>
      <c r="C12" s="93" t="s">
        <v>58</v>
      </c>
      <c r="D12" s="99">
        <v>20</v>
      </c>
      <c r="E12" s="247">
        <v>600</v>
      </c>
      <c r="F12" s="246">
        <f t="shared" si="0"/>
        <v>12000</v>
      </c>
      <c r="G12" s="103" t="s">
        <v>96</v>
      </c>
      <c r="H12" s="359">
        <v>45812</v>
      </c>
      <c r="I12" s="378" t="s">
        <v>113</v>
      </c>
      <c r="N12" s="70" t="s">
        <v>25</v>
      </c>
      <c r="O12" s="376"/>
    </row>
    <row r="13" spans="1:15" s="245" customFormat="1" ht="21.6" customHeight="1" x14ac:dyDescent="0.25">
      <c r="A13" s="265">
        <v>20250331</v>
      </c>
      <c r="C13" s="93" t="s">
        <v>59</v>
      </c>
      <c r="D13" s="99">
        <v>10</v>
      </c>
      <c r="E13" s="247">
        <v>1070</v>
      </c>
      <c r="F13" s="246">
        <f t="shared" si="0"/>
        <v>10700</v>
      </c>
      <c r="G13" s="103" t="s">
        <v>96</v>
      </c>
      <c r="H13" s="359">
        <v>45812</v>
      </c>
      <c r="I13" s="378" t="s">
        <v>114</v>
      </c>
      <c r="N13" s="70" t="s">
        <v>25</v>
      </c>
      <c r="O13" s="376"/>
    </row>
    <row r="14" spans="1:15" s="245" customFormat="1" ht="21.6" customHeight="1" thickBot="1" x14ac:dyDescent="0.3">
      <c r="A14" s="266">
        <v>20250331</v>
      </c>
      <c r="B14" s="258"/>
      <c r="C14" s="259" t="s">
        <v>60</v>
      </c>
      <c r="D14" s="260">
        <v>10</v>
      </c>
      <c r="E14" s="261">
        <v>2569</v>
      </c>
      <c r="F14" s="262">
        <f t="shared" si="0"/>
        <v>25690</v>
      </c>
      <c r="G14" s="263" t="s">
        <v>96</v>
      </c>
      <c r="H14" s="360">
        <v>45812</v>
      </c>
      <c r="I14" s="378" t="s">
        <v>115</v>
      </c>
      <c r="N14" s="70" t="s">
        <v>25</v>
      </c>
      <c r="O14" s="376"/>
    </row>
    <row r="15" spans="1:15" s="245" customFormat="1" ht="21.6" customHeight="1" x14ac:dyDescent="0.25">
      <c r="A15" s="277">
        <v>20250522</v>
      </c>
      <c r="B15" s="278"/>
      <c r="C15" s="279" t="s">
        <v>39</v>
      </c>
      <c r="D15" s="280">
        <v>2</v>
      </c>
      <c r="E15" s="281">
        <v>300</v>
      </c>
      <c r="F15" s="282">
        <f t="shared" si="0"/>
        <v>600</v>
      </c>
      <c r="G15" s="162" t="s">
        <v>97</v>
      </c>
      <c r="H15" s="361">
        <v>45994</v>
      </c>
      <c r="I15" s="379"/>
      <c r="J15" s="82"/>
      <c r="K15" s="82"/>
      <c r="L15" s="82"/>
      <c r="M15" s="82"/>
      <c r="N15" s="70"/>
      <c r="O15" s="376"/>
    </row>
    <row r="16" spans="1:15" s="245" customFormat="1" ht="21.6" customHeight="1" x14ac:dyDescent="0.25">
      <c r="A16" s="265">
        <v>20250522</v>
      </c>
      <c r="B16" s="264"/>
      <c r="C16" s="267" t="s">
        <v>98</v>
      </c>
      <c r="D16" s="268">
        <v>2</v>
      </c>
      <c r="E16" s="97">
        <v>536</v>
      </c>
      <c r="F16" s="97">
        <f t="shared" si="0"/>
        <v>1072</v>
      </c>
      <c r="G16" s="269" t="s">
        <v>99</v>
      </c>
      <c r="H16" s="359">
        <v>45994</v>
      </c>
      <c r="I16" s="379"/>
      <c r="J16" s="82"/>
      <c r="K16" s="82"/>
      <c r="L16" s="82"/>
      <c r="M16" s="82"/>
      <c r="N16" s="70"/>
      <c r="O16" s="376"/>
    </row>
    <row r="17" spans="1:15" s="245" customFormat="1" ht="21.6" customHeight="1" x14ac:dyDescent="0.25">
      <c r="A17" s="265">
        <v>20250522</v>
      </c>
      <c r="B17" s="270"/>
      <c r="C17" s="267" t="s">
        <v>100</v>
      </c>
      <c r="D17" s="268">
        <v>1</v>
      </c>
      <c r="E17" s="97">
        <v>563</v>
      </c>
      <c r="F17" s="97">
        <f t="shared" si="0"/>
        <v>563</v>
      </c>
      <c r="G17" s="269" t="s">
        <v>99</v>
      </c>
      <c r="H17" s="359">
        <v>45994</v>
      </c>
      <c r="I17" s="379"/>
      <c r="J17" s="82"/>
      <c r="K17" s="82"/>
      <c r="L17" s="82"/>
      <c r="M17" s="82"/>
      <c r="N17" s="244"/>
      <c r="O17" s="376"/>
    </row>
    <row r="18" spans="1:15" s="245" customFormat="1" ht="21.6" customHeight="1" thickBot="1" x14ac:dyDescent="0.3">
      <c r="A18" s="266">
        <v>20250522</v>
      </c>
      <c r="B18" s="283"/>
      <c r="C18" s="284" t="s">
        <v>101</v>
      </c>
      <c r="D18" s="285">
        <v>1</v>
      </c>
      <c r="E18" s="286">
        <v>563</v>
      </c>
      <c r="F18" s="286">
        <f t="shared" si="0"/>
        <v>563</v>
      </c>
      <c r="G18" s="287" t="s">
        <v>99</v>
      </c>
      <c r="H18" s="360">
        <v>45994</v>
      </c>
      <c r="I18" s="380"/>
      <c r="J18" s="82"/>
      <c r="K18" s="82"/>
      <c r="L18" s="82"/>
      <c r="M18" s="82"/>
      <c r="N18" s="244"/>
      <c r="O18" s="376"/>
    </row>
    <row r="19" spans="1:15" s="245" customFormat="1" ht="21.6" customHeight="1" x14ac:dyDescent="0.25">
      <c r="A19" s="292">
        <v>20250609</v>
      </c>
      <c r="B19" s="293"/>
      <c r="C19" s="294" t="s">
        <v>102</v>
      </c>
      <c r="D19" s="295">
        <v>43</v>
      </c>
      <c r="E19" s="296">
        <v>1615</v>
      </c>
      <c r="F19" s="297">
        <f>SUM(D19*E19)</f>
        <v>69445</v>
      </c>
      <c r="G19" s="298" t="s">
        <v>104</v>
      </c>
      <c r="H19" s="362">
        <v>46037</v>
      </c>
      <c r="I19" s="381"/>
      <c r="J19" s="243"/>
      <c r="K19" s="82"/>
      <c r="L19" s="82"/>
      <c r="M19" s="82"/>
      <c r="N19" s="244"/>
      <c r="O19" s="376"/>
    </row>
    <row r="20" spans="1:15" s="245" customFormat="1" ht="21.6" customHeight="1" thickBot="1" x14ac:dyDescent="0.3">
      <c r="A20" s="307">
        <v>20250609</v>
      </c>
      <c r="B20" s="308"/>
      <c r="C20" s="309" t="s">
        <v>103</v>
      </c>
      <c r="D20" s="310">
        <v>33</v>
      </c>
      <c r="E20" s="311">
        <v>459</v>
      </c>
      <c r="F20" s="311">
        <f>SUM(D20*E20)</f>
        <v>15147</v>
      </c>
      <c r="G20" s="312" t="s">
        <v>104</v>
      </c>
      <c r="H20" s="363">
        <v>46051</v>
      </c>
      <c r="I20" s="382"/>
      <c r="J20" s="243"/>
      <c r="K20" s="82"/>
      <c r="L20" s="82"/>
      <c r="M20" s="82"/>
      <c r="N20" s="244"/>
      <c r="O20" s="376"/>
    </row>
    <row r="21" spans="1:15" s="245" customFormat="1" ht="21.6" customHeight="1" x14ac:dyDescent="0.25">
      <c r="A21" s="313">
        <v>20250611</v>
      </c>
      <c r="B21" s="314"/>
      <c r="C21" s="315" t="s">
        <v>105</v>
      </c>
      <c r="D21" s="316">
        <v>4</v>
      </c>
      <c r="E21" s="317">
        <v>590</v>
      </c>
      <c r="F21" s="318">
        <f t="shared" ref="F21:F33" si="1">SUM(D21*E21)</f>
        <v>2360</v>
      </c>
      <c r="G21" s="319" t="s">
        <v>107</v>
      </c>
      <c r="H21" s="364">
        <v>45937</v>
      </c>
      <c r="I21" s="383"/>
      <c r="J21" s="243"/>
      <c r="K21" s="82"/>
      <c r="L21" s="82"/>
      <c r="M21" s="82"/>
      <c r="N21" s="244"/>
      <c r="O21" s="376"/>
    </row>
    <row r="22" spans="1:15" s="245" customFormat="1" ht="21.6" customHeight="1" x14ac:dyDescent="0.25">
      <c r="A22" s="320">
        <v>20250611</v>
      </c>
      <c r="B22" s="290"/>
      <c r="C22" s="300" t="s">
        <v>106</v>
      </c>
      <c r="D22" s="302">
        <v>2</v>
      </c>
      <c r="E22" s="303">
        <v>500</v>
      </c>
      <c r="F22" s="301">
        <f t="shared" si="1"/>
        <v>1000</v>
      </c>
      <c r="G22" s="291" t="s">
        <v>107</v>
      </c>
      <c r="H22" s="365">
        <v>45937</v>
      </c>
      <c r="I22" s="384"/>
      <c r="J22" s="243"/>
      <c r="K22" s="82"/>
      <c r="L22" s="82"/>
      <c r="M22" s="82"/>
      <c r="N22" s="244"/>
      <c r="O22" s="376"/>
    </row>
    <row r="23" spans="1:15" s="245" customFormat="1" ht="21.6" customHeight="1" x14ac:dyDescent="0.25">
      <c r="A23" s="320">
        <v>20250611</v>
      </c>
      <c r="B23" s="290"/>
      <c r="C23" s="304" t="s">
        <v>130</v>
      </c>
      <c r="D23" s="305">
        <v>2</v>
      </c>
      <c r="E23" s="306">
        <v>590</v>
      </c>
      <c r="F23" s="301">
        <f t="shared" si="1"/>
        <v>1180</v>
      </c>
      <c r="G23" s="291" t="s">
        <v>107</v>
      </c>
      <c r="H23" s="365">
        <v>45937</v>
      </c>
      <c r="I23" s="383"/>
      <c r="J23" s="243"/>
      <c r="K23" s="82"/>
      <c r="L23" s="82"/>
      <c r="M23" s="82"/>
      <c r="N23" s="244"/>
      <c r="O23" s="376"/>
    </row>
    <row r="24" spans="1:15" s="245" customFormat="1" ht="21.6" customHeight="1" x14ac:dyDescent="0.25">
      <c r="A24" s="320">
        <v>20250611</v>
      </c>
      <c r="B24" s="290"/>
      <c r="C24" s="304" t="s">
        <v>49</v>
      </c>
      <c r="D24" s="305">
        <v>8</v>
      </c>
      <c r="E24" s="306">
        <v>2779</v>
      </c>
      <c r="F24" s="301">
        <f t="shared" si="1"/>
        <v>22232</v>
      </c>
      <c r="G24" s="291" t="s">
        <v>107</v>
      </c>
      <c r="H24" s="365">
        <v>45937</v>
      </c>
      <c r="I24" s="385"/>
      <c r="J24" s="243"/>
      <c r="K24" s="82"/>
      <c r="L24" s="82"/>
      <c r="M24" s="82"/>
      <c r="N24" s="244"/>
      <c r="O24" s="376"/>
    </row>
    <row r="25" spans="1:15" s="245" customFormat="1" ht="21.6" customHeight="1" x14ac:dyDescent="0.25">
      <c r="A25" s="320">
        <v>20250611</v>
      </c>
      <c r="B25" s="290"/>
      <c r="C25" s="304" t="s">
        <v>131</v>
      </c>
      <c r="D25" s="305">
        <v>4</v>
      </c>
      <c r="E25" s="306">
        <v>690</v>
      </c>
      <c r="F25" s="301">
        <f t="shared" si="1"/>
        <v>2760</v>
      </c>
      <c r="G25" s="291" t="s">
        <v>107</v>
      </c>
      <c r="H25" s="365">
        <v>45937</v>
      </c>
      <c r="I25" s="385"/>
      <c r="J25" s="243"/>
      <c r="K25" s="82"/>
      <c r="L25" s="82"/>
      <c r="M25" s="82"/>
      <c r="N25" s="244"/>
      <c r="O25" s="376"/>
    </row>
    <row r="26" spans="1:15" s="245" customFormat="1" ht="21.6" customHeight="1" thickBot="1" x14ac:dyDescent="0.3">
      <c r="A26" s="320">
        <v>20250611</v>
      </c>
      <c r="B26" s="274"/>
      <c r="C26" s="101" t="s">
        <v>52</v>
      </c>
      <c r="D26" s="102">
        <v>4</v>
      </c>
      <c r="E26" s="288">
        <v>690</v>
      </c>
      <c r="F26" s="299">
        <f t="shared" si="1"/>
        <v>2760</v>
      </c>
      <c r="G26" s="291" t="s">
        <v>107</v>
      </c>
      <c r="H26" s="365">
        <v>45937</v>
      </c>
      <c r="I26" s="386"/>
      <c r="J26" s="243"/>
      <c r="K26" s="82"/>
      <c r="L26" s="82"/>
      <c r="M26" s="82"/>
      <c r="N26" s="244"/>
      <c r="O26" s="376"/>
    </row>
    <row r="27" spans="1:15" s="245" customFormat="1" ht="21.6" customHeight="1" x14ac:dyDescent="0.25">
      <c r="A27" s="320">
        <v>20250611</v>
      </c>
      <c r="B27" s="273"/>
      <c r="C27" s="93" t="s">
        <v>53</v>
      </c>
      <c r="D27" s="99">
        <v>4</v>
      </c>
      <c r="E27" s="247">
        <v>540</v>
      </c>
      <c r="F27" s="289">
        <f t="shared" si="1"/>
        <v>2160</v>
      </c>
      <c r="G27" s="291" t="s">
        <v>107</v>
      </c>
      <c r="H27" s="365">
        <v>45937</v>
      </c>
      <c r="I27" s="383"/>
      <c r="J27" s="243"/>
      <c r="K27" s="82"/>
      <c r="L27" s="82"/>
      <c r="M27" s="82"/>
      <c r="N27" s="244"/>
      <c r="O27" s="376"/>
    </row>
    <row r="28" spans="1:15" s="245" customFormat="1" ht="21.6" customHeight="1" x14ac:dyDescent="0.25">
      <c r="A28" s="320">
        <v>20250611</v>
      </c>
      <c r="B28" s="273"/>
      <c r="C28" s="93" t="s">
        <v>54</v>
      </c>
      <c r="D28" s="99">
        <v>8</v>
      </c>
      <c r="E28" s="247">
        <v>560</v>
      </c>
      <c r="F28" s="289">
        <f t="shared" si="1"/>
        <v>4480</v>
      </c>
      <c r="G28" s="291" t="s">
        <v>107</v>
      </c>
      <c r="H28" s="365">
        <v>45937</v>
      </c>
      <c r="I28" s="385"/>
      <c r="J28" s="243"/>
      <c r="K28" s="82"/>
      <c r="L28" s="82"/>
      <c r="M28" s="82"/>
      <c r="N28" s="244"/>
      <c r="O28" s="376"/>
    </row>
    <row r="29" spans="1:15" s="245" customFormat="1" ht="21.6" customHeight="1" x14ac:dyDescent="0.25">
      <c r="A29" s="320">
        <v>20250611</v>
      </c>
      <c r="B29" s="276"/>
      <c r="C29" s="93" t="s">
        <v>55</v>
      </c>
      <c r="D29" s="99">
        <v>2</v>
      </c>
      <c r="E29" s="247">
        <v>7300</v>
      </c>
      <c r="F29" s="289">
        <f t="shared" si="1"/>
        <v>14600</v>
      </c>
      <c r="G29" s="291" t="s">
        <v>107</v>
      </c>
      <c r="H29" s="365">
        <v>45937</v>
      </c>
      <c r="I29" s="383"/>
      <c r="J29" s="243"/>
      <c r="K29" s="82"/>
      <c r="L29" s="82"/>
      <c r="M29" s="82"/>
      <c r="N29" s="244"/>
      <c r="O29" s="376"/>
    </row>
    <row r="30" spans="1:15" s="245" customFormat="1" ht="21.6" customHeight="1" x14ac:dyDescent="0.25">
      <c r="A30" s="320">
        <v>20250611</v>
      </c>
      <c r="B30" s="275"/>
      <c r="C30" s="93" t="s">
        <v>57</v>
      </c>
      <c r="D30" s="99">
        <v>2</v>
      </c>
      <c r="E30" s="247">
        <v>7300</v>
      </c>
      <c r="F30" s="289">
        <f t="shared" si="1"/>
        <v>14600</v>
      </c>
      <c r="G30" s="291" t="s">
        <v>107</v>
      </c>
      <c r="H30" s="365">
        <v>45937</v>
      </c>
      <c r="I30" s="379"/>
      <c r="J30" s="82"/>
      <c r="K30" s="82"/>
      <c r="L30" s="82"/>
      <c r="M30" s="82"/>
      <c r="N30" s="244"/>
      <c r="O30" s="376"/>
    </row>
    <row r="31" spans="1:15" s="245" customFormat="1" ht="21.6" customHeight="1" x14ac:dyDescent="0.25">
      <c r="A31" s="320">
        <v>20250611</v>
      </c>
      <c r="B31" s="82"/>
      <c r="C31" s="93" t="s">
        <v>58</v>
      </c>
      <c r="D31" s="99">
        <v>7</v>
      </c>
      <c r="E31" s="247">
        <v>600</v>
      </c>
      <c r="F31" s="289">
        <f t="shared" si="1"/>
        <v>4200</v>
      </c>
      <c r="G31" s="291" t="s">
        <v>107</v>
      </c>
      <c r="H31" s="365">
        <v>45937</v>
      </c>
      <c r="I31" s="379"/>
      <c r="J31" s="82"/>
      <c r="K31" s="82"/>
      <c r="L31" s="82"/>
      <c r="M31" s="82"/>
      <c r="N31" s="244"/>
      <c r="O31" s="376"/>
    </row>
    <row r="32" spans="1:15" s="245" customFormat="1" ht="21.6" customHeight="1" x14ac:dyDescent="0.25">
      <c r="A32" s="320">
        <v>20250611</v>
      </c>
      <c r="B32" s="82"/>
      <c r="C32" s="93" t="s">
        <v>59</v>
      </c>
      <c r="D32" s="99">
        <v>4</v>
      </c>
      <c r="E32" s="247">
        <v>1070</v>
      </c>
      <c r="F32" s="289">
        <f t="shared" si="1"/>
        <v>4280</v>
      </c>
      <c r="G32" s="291" t="s">
        <v>107</v>
      </c>
      <c r="H32" s="365">
        <v>45937</v>
      </c>
      <c r="I32" s="379"/>
      <c r="J32" s="82"/>
      <c r="K32" s="82"/>
      <c r="L32" s="82"/>
      <c r="M32" s="82"/>
      <c r="N32" s="244"/>
      <c r="O32" s="376"/>
    </row>
    <row r="33" spans="1:15" s="245" customFormat="1" ht="21.6" customHeight="1" thickBot="1" x14ac:dyDescent="0.3">
      <c r="A33" s="307">
        <v>20250611</v>
      </c>
      <c r="B33" s="321"/>
      <c r="C33" s="259" t="s">
        <v>60</v>
      </c>
      <c r="D33" s="260">
        <v>4</v>
      </c>
      <c r="E33" s="261">
        <v>2569</v>
      </c>
      <c r="F33" s="322">
        <f t="shared" si="1"/>
        <v>10276</v>
      </c>
      <c r="G33" s="312" t="s">
        <v>107</v>
      </c>
      <c r="H33" s="363">
        <v>45937</v>
      </c>
      <c r="I33" s="379"/>
      <c r="J33" s="82"/>
      <c r="K33" s="82"/>
      <c r="L33" s="82"/>
      <c r="M33" s="82"/>
      <c r="N33" s="244"/>
      <c r="O33" s="376"/>
    </row>
    <row r="34" spans="1:15" s="71" customFormat="1" ht="21.6" customHeight="1" x14ac:dyDescent="0.25">
      <c r="A34" s="323" t="s">
        <v>4</v>
      </c>
      <c r="B34" s="65" t="s">
        <v>5</v>
      </c>
      <c r="C34" s="66" t="s">
        <v>7</v>
      </c>
      <c r="D34" s="98">
        <v>1</v>
      </c>
      <c r="E34" s="87">
        <v>559</v>
      </c>
      <c r="F34" s="88">
        <f>SUM(D34*E34)</f>
        <v>559</v>
      </c>
      <c r="G34" s="67" t="s">
        <v>23</v>
      </c>
      <c r="H34" s="366">
        <v>45880</v>
      </c>
      <c r="I34" s="68" t="s">
        <v>20</v>
      </c>
      <c r="J34" s="68"/>
      <c r="K34" s="69" t="s">
        <v>15</v>
      </c>
      <c r="L34" s="68"/>
      <c r="M34" s="68"/>
      <c r="N34" s="70" t="s">
        <v>25</v>
      </c>
      <c r="O34" s="376"/>
    </row>
    <row r="35" spans="1:15" s="72" customFormat="1" ht="21.6" customHeight="1" thickBot="1" x14ac:dyDescent="0.3">
      <c r="A35" s="324" t="s">
        <v>4</v>
      </c>
      <c r="B35" s="117" t="s">
        <v>6</v>
      </c>
      <c r="C35" s="106" t="s">
        <v>8</v>
      </c>
      <c r="D35" s="107">
        <v>1</v>
      </c>
      <c r="E35" s="118">
        <v>1568</v>
      </c>
      <c r="F35" s="119">
        <f t="shared" ref="F35:F45" si="2">SUM(D35*E35)</f>
        <v>1568</v>
      </c>
      <c r="G35" s="108" t="s">
        <v>23</v>
      </c>
      <c r="H35" s="367" t="s">
        <v>10</v>
      </c>
      <c r="I35" s="120" t="s">
        <v>20</v>
      </c>
      <c r="J35" s="68"/>
      <c r="K35" s="69" t="s">
        <v>15</v>
      </c>
      <c r="L35" s="68"/>
      <c r="M35" s="68"/>
      <c r="N35" s="70" t="s">
        <v>25</v>
      </c>
      <c r="O35" s="376"/>
    </row>
    <row r="36" spans="1:15" s="72" customFormat="1" ht="21.6" customHeight="1" x14ac:dyDescent="0.25">
      <c r="A36" s="109" t="s">
        <v>26</v>
      </c>
      <c r="B36" s="110" t="s">
        <v>5</v>
      </c>
      <c r="C36" s="111" t="s">
        <v>7</v>
      </c>
      <c r="D36" s="112">
        <v>1</v>
      </c>
      <c r="E36" s="113">
        <v>559</v>
      </c>
      <c r="F36" s="114">
        <f t="shared" ref="F36:F39" si="3">SUM(D36*E36)</f>
        <v>559</v>
      </c>
      <c r="G36" s="103" t="s">
        <v>72</v>
      </c>
      <c r="H36" s="368" t="s">
        <v>21</v>
      </c>
      <c r="I36" s="115" t="s">
        <v>28</v>
      </c>
      <c r="J36" s="68" t="s">
        <v>29</v>
      </c>
      <c r="K36" s="69" t="s">
        <v>15</v>
      </c>
      <c r="L36" s="68"/>
      <c r="M36" s="68"/>
      <c r="N36" s="70" t="s">
        <v>25</v>
      </c>
      <c r="O36" s="376"/>
    </row>
    <row r="37" spans="1:15" s="72" customFormat="1" ht="21.6" customHeight="1" thickBot="1" x14ac:dyDescent="0.3">
      <c r="A37" s="116" t="s">
        <v>26</v>
      </c>
      <c r="B37" s="117" t="s">
        <v>6</v>
      </c>
      <c r="C37" s="106" t="s">
        <v>8</v>
      </c>
      <c r="D37" s="107">
        <v>1</v>
      </c>
      <c r="E37" s="118">
        <v>1568</v>
      </c>
      <c r="F37" s="119">
        <f t="shared" si="3"/>
        <v>1568</v>
      </c>
      <c r="G37" s="108" t="s">
        <v>72</v>
      </c>
      <c r="H37" s="367" t="s">
        <v>21</v>
      </c>
      <c r="I37" s="120" t="s">
        <v>28</v>
      </c>
      <c r="J37" s="68" t="s">
        <v>30</v>
      </c>
      <c r="K37" s="69" t="s">
        <v>15</v>
      </c>
      <c r="L37" s="68"/>
      <c r="M37" s="68"/>
      <c r="N37" s="70" t="s">
        <v>25</v>
      </c>
    </row>
    <row r="38" spans="1:15" s="72" customFormat="1" ht="21.6" customHeight="1" thickBot="1" x14ac:dyDescent="0.3">
      <c r="A38" s="121" t="s">
        <v>31</v>
      </c>
      <c r="B38" s="122"/>
      <c r="C38" s="123" t="s">
        <v>32</v>
      </c>
      <c r="D38" s="100">
        <v>21</v>
      </c>
      <c r="E38" s="124">
        <v>1414</v>
      </c>
      <c r="F38" s="125">
        <f t="shared" si="3"/>
        <v>29694</v>
      </c>
      <c r="G38" s="126" t="s">
        <v>33</v>
      </c>
      <c r="H38" s="369" t="s">
        <v>70</v>
      </c>
      <c r="I38" s="115" t="s">
        <v>71</v>
      </c>
      <c r="J38" s="68"/>
      <c r="K38" s="73"/>
      <c r="L38" s="68"/>
      <c r="M38" s="68"/>
      <c r="N38" s="70" t="s">
        <v>25</v>
      </c>
    </row>
    <row r="39" spans="1:15" s="72" customFormat="1" ht="21.6" customHeight="1" x14ac:dyDescent="0.25">
      <c r="A39" s="325" t="s">
        <v>34</v>
      </c>
      <c r="B39" s="157"/>
      <c r="C39" s="279" t="s">
        <v>35</v>
      </c>
      <c r="D39" s="280">
        <v>20</v>
      </c>
      <c r="E39" s="281">
        <v>534</v>
      </c>
      <c r="F39" s="282">
        <f t="shared" si="3"/>
        <v>10680</v>
      </c>
      <c r="G39" s="162" t="s">
        <v>36</v>
      </c>
      <c r="H39" s="370" t="s">
        <v>38</v>
      </c>
      <c r="I39" s="89"/>
      <c r="J39" s="68"/>
      <c r="K39" s="73"/>
      <c r="L39" s="68"/>
      <c r="M39" s="68"/>
      <c r="N39" s="74"/>
    </row>
    <row r="40" spans="1:15" s="72" customFormat="1" ht="21.6" customHeight="1" x14ac:dyDescent="0.25">
      <c r="A40" s="326" t="s">
        <v>34</v>
      </c>
      <c r="B40" s="65"/>
      <c r="C40" s="66" t="s">
        <v>37</v>
      </c>
      <c r="D40" s="98">
        <v>80</v>
      </c>
      <c r="E40" s="87">
        <v>136</v>
      </c>
      <c r="F40" s="88">
        <f t="shared" si="2"/>
        <v>10880</v>
      </c>
      <c r="G40" s="67" t="s">
        <v>36</v>
      </c>
      <c r="H40" s="371" t="s">
        <v>38</v>
      </c>
      <c r="I40" s="89"/>
      <c r="J40" s="68"/>
      <c r="K40" s="73"/>
      <c r="L40" s="68"/>
      <c r="M40" s="68"/>
      <c r="N40" s="74"/>
    </row>
    <row r="41" spans="1:15" s="72" customFormat="1" ht="21.6" customHeight="1" x14ac:dyDescent="0.25">
      <c r="A41" s="326" t="s">
        <v>34</v>
      </c>
      <c r="B41" s="65"/>
      <c r="C41" s="66" t="s">
        <v>129</v>
      </c>
      <c r="D41" s="98">
        <v>40</v>
      </c>
      <c r="E41" s="87">
        <v>601</v>
      </c>
      <c r="F41" s="88">
        <f t="shared" si="2"/>
        <v>24040</v>
      </c>
      <c r="G41" s="67" t="s">
        <v>36</v>
      </c>
      <c r="H41" s="371" t="s">
        <v>38</v>
      </c>
      <c r="I41" s="89"/>
      <c r="J41" s="68"/>
      <c r="K41" s="73"/>
      <c r="L41" s="68"/>
      <c r="M41" s="68"/>
      <c r="N41" s="74"/>
    </row>
    <row r="42" spans="1:15" s="72" customFormat="1" ht="21.6" customHeight="1" x14ac:dyDescent="0.25">
      <c r="A42" s="326" t="s">
        <v>34</v>
      </c>
      <c r="B42" s="65"/>
      <c r="C42" s="66" t="s">
        <v>39</v>
      </c>
      <c r="D42" s="98">
        <v>200</v>
      </c>
      <c r="E42" s="87">
        <v>300</v>
      </c>
      <c r="F42" s="88">
        <f t="shared" si="2"/>
        <v>60000</v>
      </c>
      <c r="G42" s="67" t="s">
        <v>36</v>
      </c>
      <c r="H42" s="371" t="s">
        <v>38</v>
      </c>
      <c r="I42" s="89"/>
      <c r="J42" s="68"/>
      <c r="K42" s="73"/>
      <c r="L42" s="68"/>
      <c r="M42" s="68"/>
      <c r="N42" s="74"/>
    </row>
    <row r="43" spans="1:15" s="72" customFormat="1" ht="21.6" customHeight="1" x14ac:dyDescent="0.25">
      <c r="A43" s="326" t="s">
        <v>34</v>
      </c>
      <c r="C43" s="66" t="s">
        <v>42</v>
      </c>
      <c r="D43" s="98">
        <v>120</v>
      </c>
      <c r="E43" s="97">
        <v>536</v>
      </c>
      <c r="F43" s="97">
        <f t="shared" si="2"/>
        <v>64320</v>
      </c>
      <c r="G43" s="67" t="s">
        <v>36</v>
      </c>
      <c r="H43" s="371" t="s">
        <v>38</v>
      </c>
      <c r="I43" s="387"/>
      <c r="J43" s="76"/>
      <c r="K43" s="77"/>
      <c r="L43" s="76"/>
      <c r="M43" s="76"/>
    </row>
    <row r="44" spans="1:15" s="72" customFormat="1" ht="21.6" customHeight="1" x14ac:dyDescent="0.25">
      <c r="A44" s="326" t="s">
        <v>34</v>
      </c>
      <c r="C44" s="66" t="s">
        <v>43</v>
      </c>
      <c r="D44" s="98">
        <v>60</v>
      </c>
      <c r="E44" s="97">
        <v>563</v>
      </c>
      <c r="F44" s="97">
        <f t="shared" si="2"/>
        <v>33780</v>
      </c>
      <c r="G44" s="67" t="s">
        <v>36</v>
      </c>
      <c r="H44" s="371" t="s">
        <v>38</v>
      </c>
      <c r="I44" s="387"/>
      <c r="J44" s="76"/>
      <c r="K44" s="77"/>
      <c r="L44" s="76"/>
      <c r="M44" s="76"/>
    </row>
    <row r="45" spans="1:15" s="72" customFormat="1" ht="21.6" customHeight="1" thickBot="1" x14ac:dyDescent="0.3">
      <c r="A45" s="327" t="s">
        <v>34</v>
      </c>
      <c r="B45" s="328"/>
      <c r="C45" s="106" t="s">
        <v>44</v>
      </c>
      <c r="D45" s="107">
        <v>60</v>
      </c>
      <c r="E45" s="286">
        <v>563</v>
      </c>
      <c r="F45" s="286">
        <f t="shared" si="2"/>
        <v>33780</v>
      </c>
      <c r="G45" s="108" t="s">
        <v>36</v>
      </c>
      <c r="H45" s="372" t="s">
        <v>38</v>
      </c>
      <c r="I45" s="387"/>
      <c r="J45" s="76"/>
      <c r="K45" s="77"/>
      <c r="L45" s="76"/>
      <c r="M45" s="76"/>
    </row>
    <row r="46" spans="1:15" s="72" customFormat="1" ht="21.6" customHeight="1" x14ac:dyDescent="0.25">
      <c r="A46" s="329" t="s">
        <v>45</v>
      </c>
      <c r="B46" s="330"/>
      <c r="C46" s="331" t="s">
        <v>46</v>
      </c>
      <c r="D46" s="332">
        <v>6</v>
      </c>
      <c r="E46" s="333">
        <v>590</v>
      </c>
      <c r="F46" s="333">
        <f>SUM(D46*E46)</f>
        <v>3540</v>
      </c>
      <c r="G46" s="162" t="s">
        <v>50</v>
      </c>
      <c r="H46" s="370" t="s">
        <v>56</v>
      </c>
      <c r="I46" s="388"/>
      <c r="J46" s="104"/>
      <c r="K46" s="105"/>
      <c r="L46" s="76"/>
      <c r="M46" s="76"/>
    </row>
    <row r="47" spans="1:15" s="72" customFormat="1" ht="21.6" customHeight="1" x14ac:dyDescent="0.25">
      <c r="A47" s="334" t="s">
        <v>45</v>
      </c>
      <c r="B47" s="95"/>
      <c r="C47" s="93" t="s">
        <v>47</v>
      </c>
      <c r="D47" s="99">
        <v>3</v>
      </c>
      <c r="E47" s="94">
        <v>500</v>
      </c>
      <c r="F47" s="94">
        <f>SUM(D47*E47)</f>
        <v>1500</v>
      </c>
      <c r="G47" s="67" t="s">
        <v>50</v>
      </c>
      <c r="H47" s="371" t="s">
        <v>56</v>
      </c>
      <c r="I47" s="387"/>
      <c r="J47" s="76"/>
      <c r="K47" s="77"/>
      <c r="L47" s="76"/>
      <c r="M47" s="76"/>
    </row>
    <row r="48" spans="1:15" s="72" customFormat="1" ht="21.6" customHeight="1" x14ac:dyDescent="0.25">
      <c r="A48" s="334" t="s">
        <v>45</v>
      </c>
      <c r="B48" s="95"/>
      <c r="C48" s="93" t="s">
        <v>48</v>
      </c>
      <c r="D48" s="99">
        <v>3</v>
      </c>
      <c r="E48" s="94">
        <v>590</v>
      </c>
      <c r="F48" s="94">
        <f t="shared" ref="F48:F49" si="4">SUM(D48*E48)</f>
        <v>1770</v>
      </c>
      <c r="G48" s="67" t="s">
        <v>50</v>
      </c>
      <c r="H48" s="371" t="s">
        <v>56</v>
      </c>
      <c r="I48" s="387"/>
      <c r="J48" s="76"/>
      <c r="K48" s="77"/>
      <c r="L48" s="76"/>
      <c r="M48" s="76"/>
    </row>
    <row r="49" spans="1:13" s="72" customFormat="1" ht="21.6" customHeight="1" x14ac:dyDescent="0.25">
      <c r="A49" s="334" t="s">
        <v>45</v>
      </c>
      <c r="B49" s="95"/>
      <c r="C49" s="93" t="s">
        <v>49</v>
      </c>
      <c r="D49" s="99">
        <v>12</v>
      </c>
      <c r="E49" s="94">
        <v>2779</v>
      </c>
      <c r="F49" s="94">
        <f t="shared" si="4"/>
        <v>33348</v>
      </c>
      <c r="G49" s="67" t="s">
        <v>50</v>
      </c>
      <c r="H49" s="371" t="s">
        <v>56</v>
      </c>
      <c r="I49" s="387"/>
      <c r="J49" s="76"/>
      <c r="K49" s="77"/>
      <c r="L49" s="76"/>
      <c r="M49" s="76"/>
    </row>
    <row r="50" spans="1:13" s="72" customFormat="1" ht="21.6" customHeight="1" x14ac:dyDescent="0.25">
      <c r="A50" s="334" t="s">
        <v>45</v>
      </c>
      <c r="B50" s="91"/>
      <c r="C50" s="93" t="s">
        <v>51</v>
      </c>
      <c r="D50" s="99">
        <v>6</v>
      </c>
      <c r="E50" s="94">
        <v>690</v>
      </c>
      <c r="F50" s="94">
        <f>SUM(D50*E50)</f>
        <v>4140</v>
      </c>
      <c r="G50" s="67" t="s">
        <v>50</v>
      </c>
      <c r="H50" s="371" t="s">
        <v>56</v>
      </c>
      <c r="I50" s="387"/>
      <c r="J50" s="76"/>
      <c r="K50" s="77"/>
      <c r="L50" s="76"/>
      <c r="M50" s="76"/>
    </row>
    <row r="51" spans="1:13" s="72" customFormat="1" ht="21.6" customHeight="1" x14ac:dyDescent="0.25">
      <c r="A51" s="334" t="s">
        <v>45</v>
      </c>
      <c r="B51" s="92"/>
      <c r="C51" s="93" t="s">
        <v>52</v>
      </c>
      <c r="D51" s="99">
        <v>6</v>
      </c>
      <c r="E51" s="94">
        <v>690</v>
      </c>
      <c r="F51" s="94">
        <f>SUM(D51*E51)</f>
        <v>4140</v>
      </c>
      <c r="G51" s="67" t="s">
        <v>50</v>
      </c>
      <c r="H51" s="371" t="s">
        <v>56</v>
      </c>
      <c r="I51" s="387"/>
      <c r="J51" s="76"/>
      <c r="K51" s="77"/>
      <c r="L51" s="76"/>
      <c r="M51" s="76"/>
    </row>
    <row r="52" spans="1:13" s="72" customFormat="1" ht="21.6" customHeight="1" x14ac:dyDescent="0.25">
      <c r="A52" s="334" t="s">
        <v>45</v>
      </c>
      <c r="B52" s="92"/>
      <c r="C52" s="93" t="s">
        <v>53</v>
      </c>
      <c r="D52" s="99">
        <v>6</v>
      </c>
      <c r="E52" s="94">
        <v>540</v>
      </c>
      <c r="F52" s="94">
        <f t="shared" ref="F52:F58" si="5">SUM(D52*E52)</f>
        <v>3240</v>
      </c>
      <c r="G52" s="67" t="s">
        <v>50</v>
      </c>
      <c r="H52" s="371" t="s">
        <v>56</v>
      </c>
      <c r="I52" s="387"/>
      <c r="J52" s="76"/>
      <c r="K52" s="77"/>
      <c r="L52" s="76"/>
      <c r="M52" s="76"/>
    </row>
    <row r="53" spans="1:13" s="72" customFormat="1" ht="21.6" customHeight="1" x14ac:dyDescent="0.25">
      <c r="A53" s="334" t="s">
        <v>45</v>
      </c>
      <c r="B53" s="92"/>
      <c r="C53" s="93" t="s">
        <v>54</v>
      </c>
      <c r="D53" s="99">
        <v>12</v>
      </c>
      <c r="E53" s="94">
        <v>560</v>
      </c>
      <c r="F53" s="94">
        <f t="shared" si="5"/>
        <v>6720</v>
      </c>
      <c r="G53" s="67" t="s">
        <v>50</v>
      </c>
      <c r="H53" s="371" t="s">
        <v>56</v>
      </c>
      <c r="I53" s="387"/>
      <c r="J53" s="76"/>
      <c r="K53" s="77"/>
      <c r="L53" s="76"/>
      <c r="M53" s="76"/>
    </row>
    <row r="54" spans="1:13" s="72" customFormat="1" ht="21.6" customHeight="1" x14ac:dyDescent="0.25">
      <c r="A54" s="334" t="s">
        <v>45</v>
      </c>
      <c r="B54" s="92"/>
      <c r="C54" s="93" t="s">
        <v>55</v>
      </c>
      <c r="D54" s="99">
        <v>3</v>
      </c>
      <c r="E54" s="94">
        <v>7300</v>
      </c>
      <c r="F54" s="94">
        <f t="shared" si="5"/>
        <v>21900</v>
      </c>
      <c r="G54" s="67" t="s">
        <v>50</v>
      </c>
      <c r="H54" s="371" t="s">
        <v>56</v>
      </c>
      <c r="I54" s="387"/>
      <c r="J54" s="76"/>
      <c r="K54" s="77"/>
      <c r="L54" s="76"/>
      <c r="M54" s="76"/>
    </row>
    <row r="55" spans="1:13" s="72" customFormat="1" ht="21.6" customHeight="1" x14ac:dyDescent="0.25">
      <c r="A55" s="334" t="s">
        <v>45</v>
      </c>
      <c r="B55" s="92"/>
      <c r="C55" s="93" t="s">
        <v>57</v>
      </c>
      <c r="D55" s="99">
        <v>3</v>
      </c>
      <c r="E55" s="94">
        <v>7300</v>
      </c>
      <c r="F55" s="94">
        <f t="shared" si="5"/>
        <v>21900</v>
      </c>
      <c r="G55" s="67" t="s">
        <v>50</v>
      </c>
      <c r="H55" s="371" t="s">
        <v>56</v>
      </c>
      <c r="I55" s="387"/>
      <c r="J55" s="76"/>
      <c r="K55" s="77"/>
      <c r="L55" s="76"/>
      <c r="M55" s="76"/>
    </row>
    <row r="56" spans="1:13" s="72" customFormat="1" ht="21.6" customHeight="1" x14ac:dyDescent="0.25">
      <c r="A56" s="334" t="s">
        <v>45</v>
      </c>
      <c r="B56" s="92"/>
      <c r="C56" s="93" t="s">
        <v>58</v>
      </c>
      <c r="D56" s="99">
        <v>12</v>
      </c>
      <c r="E56" s="94">
        <v>600</v>
      </c>
      <c r="F56" s="94">
        <f t="shared" si="5"/>
        <v>7200</v>
      </c>
      <c r="G56" s="67" t="s">
        <v>50</v>
      </c>
      <c r="H56" s="371" t="s">
        <v>56</v>
      </c>
      <c r="I56" s="387"/>
      <c r="J56" s="76"/>
      <c r="K56" s="77"/>
      <c r="L56" s="76"/>
      <c r="M56" s="76"/>
    </row>
    <row r="57" spans="1:13" s="72" customFormat="1" ht="21.6" customHeight="1" x14ac:dyDescent="0.25">
      <c r="A57" s="334" t="s">
        <v>45</v>
      </c>
      <c r="B57" s="92"/>
      <c r="C57" s="93" t="s">
        <v>59</v>
      </c>
      <c r="D57" s="99">
        <v>6</v>
      </c>
      <c r="E57" s="94">
        <v>1070</v>
      </c>
      <c r="F57" s="94">
        <f t="shared" si="5"/>
        <v>6420</v>
      </c>
      <c r="G57" s="67" t="s">
        <v>50</v>
      </c>
      <c r="H57" s="371" t="s">
        <v>56</v>
      </c>
      <c r="I57" s="387"/>
      <c r="J57" s="76"/>
      <c r="K57" s="77"/>
      <c r="L57" s="76"/>
      <c r="M57" s="76"/>
    </row>
    <row r="58" spans="1:13" s="72" customFormat="1" ht="21.6" customHeight="1" thickBot="1" x14ac:dyDescent="0.3">
      <c r="A58" s="335" t="s">
        <v>45</v>
      </c>
      <c r="B58" s="336"/>
      <c r="C58" s="259" t="s">
        <v>60</v>
      </c>
      <c r="D58" s="260">
        <v>6</v>
      </c>
      <c r="E58" s="337">
        <v>2569</v>
      </c>
      <c r="F58" s="337">
        <f t="shared" si="5"/>
        <v>15414</v>
      </c>
      <c r="G58" s="108" t="s">
        <v>50</v>
      </c>
      <c r="H58" s="372" t="s">
        <v>56</v>
      </c>
      <c r="I58" s="387"/>
      <c r="J58" s="76"/>
      <c r="K58" s="77"/>
      <c r="L58" s="76"/>
      <c r="M58" s="76"/>
    </row>
    <row r="59" spans="1:13" s="72" customFormat="1" ht="21.6" customHeight="1" thickBot="1" x14ac:dyDescent="0.3">
      <c r="A59" s="338" t="s">
        <v>61</v>
      </c>
      <c r="B59" s="339"/>
      <c r="C59" s="340" t="s">
        <v>128</v>
      </c>
      <c r="D59" s="341">
        <v>19</v>
      </c>
      <c r="E59" s="342">
        <v>888</v>
      </c>
      <c r="F59" s="342">
        <f>SUM(D59*E59)</f>
        <v>16872</v>
      </c>
      <c r="G59" s="343" t="s">
        <v>67</v>
      </c>
      <c r="H59" s="373" t="s">
        <v>63</v>
      </c>
      <c r="I59" s="387"/>
      <c r="J59" s="76"/>
      <c r="K59" s="77"/>
      <c r="L59" s="76"/>
      <c r="M59" s="76"/>
    </row>
    <row r="60" spans="1:13" s="72" customFormat="1" ht="21.6" customHeight="1" x14ac:dyDescent="0.25">
      <c r="A60" s="329" t="s">
        <v>64</v>
      </c>
      <c r="B60" s="344"/>
      <c r="C60" s="345" t="s">
        <v>69</v>
      </c>
      <c r="D60" s="346">
        <v>29</v>
      </c>
      <c r="E60" s="347">
        <v>459</v>
      </c>
      <c r="F60" s="348">
        <f>SUM(D60*E60)</f>
        <v>13311</v>
      </c>
      <c r="G60" s="349" t="s">
        <v>68</v>
      </c>
      <c r="H60" s="370" t="s">
        <v>66</v>
      </c>
      <c r="I60" s="387"/>
      <c r="J60" s="76"/>
      <c r="K60" s="77"/>
      <c r="L60" s="76"/>
      <c r="M60" s="76"/>
    </row>
    <row r="61" spans="1:13" s="72" customFormat="1" ht="21.6" customHeight="1" thickBot="1" x14ac:dyDescent="0.3">
      <c r="A61" s="350" t="s">
        <v>64</v>
      </c>
      <c r="B61" s="336"/>
      <c r="C61" s="351" t="s">
        <v>65</v>
      </c>
      <c r="D61" s="352">
        <v>23</v>
      </c>
      <c r="E61" s="353">
        <v>888</v>
      </c>
      <c r="F61" s="354">
        <f>SUM(D61*E61)</f>
        <v>20424</v>
      </c>
      <c r="G61" s="90" t="s">
        <v>68</v>
      </c>
      <c r="H61" s="372" t="s">
        <v>63</v>
      </c>
      <c r="I61" s="387"/>
      <c r="J61" s="76"/>
      <c r="K61" s="77"/>
      <c r="L61" s="76"/>
      <c r="M61" s="76"/>
    </row>
    <row r="62" spans="1:13" s="72" customFormat="1" ht="21.6" customHeight="1" thickBot="1" x14ac:dyDescent="0.3">
      <c r="A62" s="96"/>
      <c r="B62" s="110"/>
      <c r="C62" s="111" t="s">
        <v>117</v>
      </c>
      <c r="D62" s="112">
        <v>1</v>
      </c>
      <c r="E62" s="113"/>
      <c r="F62" s="348">
        <f t="shared" ref="F62:F112" si="6">SUM(D62*E62)</f>
        <v>0</v>
      </c>
      <c r="G62" s="391" t="s">
        <v>118</v>
      </c>
      <c r="H62" s="374">
        <v>45916</v>
      </c>
      <c r="I62" s="389"/>
      <c r="J62" s="76"/>
      <c r="K62" s="77"/>
      <c r="L62" s="76"/>
      <c r="M62" s="76"/>
    </row>
    <row r="63" spans="1:13" s="72" customFormat="1" ht="21.6" customHeight="1" thickBot="1" x14ac:dyDescent="0.3">
      <c r="A63" s="96"/>
      <c r="B63" s="65"/>
      <c r="C63" s="294" t="s">
        <v>102</v>
      </c>
      <c r="D63" s="98">
        <v>13</v>
      </c>
      <c r="E63" s="87">
        <v>1615</v>
      </c>
      <c r="F63" s="354">
        <f t="shared" si="6"/>
        <v>20995</v>
      </c>
      <c r="G63" s="391" t="s">
        <v>119</v>
      </c>
      <c r="H63" s="374">
        <v>45916</v>
      </c>
      <c r="I63" s="389"/>
      <c r="J63" s="76"/>
      <c r="K63" s="77"/>
      <c r="L63" s="76"/>
      <c r="M63" s="76"/>
    </row>
    <row r="64" spans="1:13" s="72" customFormat="1" ht="21.6" customHeight="1" thickBot="1" x14ac:dyDescent="0.3">
      <c r="A64" s="85"/>
      <c r="C64" s="294" t="s">
        <v>102</v>
      </c>
      <c r="D64" s="98">
        <v>2</v>
      </c>
      <c r="E64" s="87">
        <v>1615</v>
      </c>
      <c r="F64" s="348">
        <f t="shared" si="6"/>
        <v>3230</v>
      </c>
      <c r="G64" s="391" t="s">
        <v>120</v>
      </c>
      <c r="H64" s="374">
        <v>45916</v>
      </c>
      <c r="I64" s="389"/>
      <c r="J64" s="76"/>
      <c r="K64" s="77"/>
      <c r="L64" s="76"/>
      <c r="M64" s="76"/>
    </row>
    <row r="65" spans="1:13" s="72" customFormat="1" ht="21.6" customHeight="1" thickBot="1" x14ac:dyDescent="0.3">
      <c r="A65" s="85"/>
      <c r="C65" s="345" t="s">
        <v>69</v>
      </c>
      <c r="D65" s="98">
        <v>12</v>
      </c>
      <c r="E65" s="97">
        <v>459</v>
      </c>
      <c r="F65" s="354">
        <f t="shared" si="6"/>
        <v>5508</v>
      </c>
      <c r="G65" s="391" t="s">
        <v>121</v>
      </c>
      <c r="H65" s="374">
        <v>45916</v>
      </c>
      <c r="I65" s="389"/>
      <c r="J65" s="76"/>
      <c r="K65" s="77"/>
      <c r="L65" s="76"/>
      <c r="M65" s="76"/>
    </row>
    <row r="66" spans="1:13" s="72" customFormat="1" ht="21.6" customHeight="1" thickBot="1" x14ac:dyDescent="0.3">
      <c r="A66" s="85"/>
      <c r="C66" s="351" t="s">
        <v>62</v>
      </c>
      <c r="D66" s="98">
        <v>12</v>
      </c>
      <c r="E66" s="97">
        <v>888</v>
      </c>
      <c r="F66" s="348">
        <f t="shared" si="6"/>
        <v>10656</v>
      </c>
      <c r="G66" s="391" t="s">
        <v>122</v>
      </c>
      <c r="H66" s="374">
        <v>45916</v>
      </c>
      <c r="I66" s="389"/>
      <c r="J66" s="76"/>
      <c r="K66" s="77"/>
      <c r="L66" s="76"/>
      <c r="M66" s="76"/>
    </row>
    <row r="67" spans="1:13" s="72" customFormat="1" ht="21.6" customHeight="1" thickBot="1" x14ac:dyDescent="0.3">
      <c r="A67" s="85"/>
      <c r="C67" s="135" t="s">
        <v>132</v>
      </c>
      <c r="D67" s="98">
        <v>12</v>
      </c>
      <c r="E67" s="97"/>
      <c r="F67" s="354">
        <f t="shared" si="6"/>
        <v>0</v>
      </c>
      <c r="G67" s="391" t="s">
        <v>123</v>
      </c>
      <c r="H67" s="374">
        <v>45916</v>
      </c>
      <c r="I67" s="389"/>
      <c r="J67" s="76"/>
      <c r="K67" s="77"/>
      <c r="L67" s="76"/>
      <c r="M67" s="76"/>
    </row>
    <row r="68" spans="1:13" s="72" customFormat="1" ht="21.6" customHeight="1" x14ac:dyDescent="0.25">
      <c r="A68" s="85"/>
      <c r="C68" s="135" t="s">
        <v>140</v>
      </c>
      <c r="D68" s="98">
        <v>4</v>
      </c>
      <c r="E68" s="97">
        <v>536</v>
      </c>
      <c r="F68" s="348">
        <f t="shared" si="6"/>
        <v>2144</v>
      </c>
      <c r="G68" s="391" t="s">
        <v>118</v>
      </c>
      <c r="H68" s="374">
        <v>45916</v>
      </c>
      <c r="I68" s="389"/>
      <c r="J68" s="76"/>
      <c r="K68" s="77"/>
      <c r="L68" s="76"/>
      <c r="M68" s="76"/>
    </row>
    <row r="69" spans="1:13" s="72" customFormat="1" ht="21.6" customHeight="1" thickBot="1" x14ac:dyDescent="0.3">
      <c r="A69" s="85"/>
      <c r="C69" s="135" t="s">
        <v>133</v>
      </c>
      <c r="D69" s="98">
        <v>4</v>
      </c>
      <c r="E69" s="97">
        <v>536</v>
      </c>
      <c r="F69" s="354">
        <f t="shared" si="6"/>
        <v>2144</v>
      </c>
      <c r="G69" s="391" t="s">
        <v>118</v>
      </c>
      <c r="H69" s="374">
        <v>45916</v>
      </c>
      <c r="I69" s="389"/>
      <c r="J69" s="76"/>
      <c r="K69" s="77"/>
      <c r="L69" s="76"/>
      <c r="M69" s="76"/>
    </row>
    <row r="70" spans="1:13" s="72" customFormat="1" ht="21.6" customHeight="1" x14ac:dyDescent="0.25">
      <c r="A70" s="85"/>
      <c r="C70" s="135" t="s">
        <v>141</v>
      </c>
      <c r="D70" s="98">
        <v>12</v>
      </c>
      <c r="E70" s="97">
        <v>536</v>
      </c>
      <c r="F70" s="348">
        <f t="shared" si="6"/>
        <v>6432</v>
      </c>
      <c r="G70" s="391" t="s">
        <v>124</v>
      </c>
      <c r="H70" s="374">
        <v>45916</v>
      </c>
      <c r="I70" s="389"/>
      <c r="J70" s="76"/>
      <c r="K70" s="77"/>
      <c r="L70" s="76"/>
      <c r="M70" s="76"/>
    </row>
    <row r="71" spans="1:13" s="72" customFormat="1" ht="21.6" customHeight="1" thickBot="1" x14ac:dyDescent="0.3">
      <c r="A71" s="85"/>
      <c r="C71" s="135" t="s">
        <v>134</v>
      </c>
      <c r="D71" s="98">
        <v>12</v>
      </c>
      <c r="E71" s="97">
        <v>536</v>
      </c>
      <c r="F71" s="354">
        <f t="shared" si="6"/>
        <v>6432</v>
      </c>
      <c r="G71" s="391" t="s">
        <v>118</v>
      </c>
      <c r="H71" s="374">
        <v>45916</v>
      </c>
      <c r="I71" s="389"/>
      <c r="J71" s="76"/>
      <c r="K71" s="77"/>
      <c r="L71" s="76"/>
      <c r="M71" s="76"/>
    </row>
    <row r="72" spans="1:13" s="72" customFormat="1" ht="21.6" customHeight="1" x14ac:dyDescent="0.25">
      <c r="A72" s="85"/>
      <c r="C72" s="135" t="s">
        <v>135</v>
      </c>
      <c r="D72" s="98">
        <v>6</v>
      </c>
      <c r="E72" s="97">
        <v>563</v>
      </c>
      <c r="F72" s="348">
        <f t="shared" si="6"/>
        <v>3378</v>
      </c>
      <c r="G72" s="391" t="s">
        <v>124</v>
      </c>
      <c r="H72" s="374">
        <v>45916</v>
      </c>
      <c r="I72" s="389"/>
      <c r="J72" s="76"/>
      <c r="K72" s="77"/>
      <c r="L72" s="76"/>
      <c r="M72" s="76"/>
    </row>
    <row r="73" spans="1:13" s="72" customFormat="1" ht="21.6" customHeight="1" thickBot="1" x14ac:dyDescent="0.3">
      <c r="A73" s="85"/>
      <c r="C73" s="135" t="s">
        <v>142</v>
      </c>
      <c r="D73" s="98">
        <v>3</v>
      </c>
      <c r="E73" s="97">
        <v>563</v>
      </c>
      <c r="F73" s="354">
        <f t="shared" si="6"/>
        <v>1689</v>
      </c>
      <c r="G73" s="391" t="s">
        <v>118</v>
      </c>
      <c r="H73" s="374">
        <v>45916</v>
      </c>
      <c r="I73" s="389"/>
      <c r="J73" s="76"/>
      <c r="K73" s="77"/>
      <c r="L73" s="76"/>
      <c r="M73" s="76"/>
    </row>
    <row r="74" spans="1:13" s="72" customFormat="1" ht="21.6" customHeight="1" x14ac:dyDescent="0.25">
      <c r="A74" s="85"/>
      <c r="C74" s="135" t="s">
        <v>136</v>
      </c>
      <c r="D74" s="98">
        <v>6</v>
      </c>
      <c r="E74" s="97">
        <v>563</v>
      </c>
      <c r="F74" s="348">
        <f t="shared" si="6"/>
        <v>3378</v>
      </c>
      <c r="G74" s="391" t="s">
        <v>124</v>
      </c>
      <c r="H74" s="374">
        <v>45916</v>
      </c>
      <c r="I74" s="389"/>
      <c r="J74" s="76"/>
      <c r="K74" s="77"/>
      <c r="L74" s="76"/>
      <c r="M74" s="76"/>
    </row>
    <row r="75" spans="1:13" s="72" customFormat="1" ht="21.6" customHeight="1" thickBot="1" x14ac:dyDescent="0.3">
      <c r="A75" s="85"/>
      <c r="C75" s="135" t="s">
        <v>136</v>
      </c>
      <c r="D75" s="98">
        <v>3</v>
      </c>
      <c r="E75" s="97">
        <v>563</v>
      </c>
      <c r="F75" s="354">
        <f t="shared" si="6"/>
        <v>1689</v>
      </c>
      <c r="G75" s="391" t="s">
        <v>118</v>
      </c>
      <c r="H75" s="374">
        <v>45916</v>
      </c>
      <c r="I75" s="389"/>
      <c r="J75" s="76"/>
      <c r="K75" s="77"/>
      <c r="L75" s="76"/>
      <c r="M75" s="76"/>
    </row>
    <row r="76" spans="1:13" s="72" customFormat="1" ht="21.6" customHeight="1" x14ac:dyDescent="0.25">
      <c r="A76" s="85"/>
      <c r="C76" s="135" t="s">
        <v>137</v>
      </c>
      <c r="D76" s="98">
        <v>6</v>
      </c>
      <c r="E76" s="97">
        <v>590</v>
      </c>
      <c r="F76" s="348">
        <f t="shared" si="6"/>
        <v>3540</v>
      </c>
      <c r="G76" s="391" t="s">
        <v>125</v>
      </c>
      <c r="H76" s="374">
        <v>45916</v>
      </c>
      <c r="I76" s="389"/>
      <c r="J76" s="76"/>
      <c r="K76" s="77"/>
      <c r="L76" s="76"/>
      <c r="M76" s="76"/>
    </row>
    <row r="77" spans="1:13" s="72" customFormat="1" ht="21.6" customHeight="1" thickBot="1" x14ac:dyDescent="0.3">
      <c r="A77" s="85"/>
      <c r="C77" s="135" t="s">
        <v>138</v>
      </c>
      <c r="D77" s="98">
        <v>2</v>
      </c>
      <c r="E77" s="97">
        <v>500</v>
      </c>
      <c r="F77" s="354">
        <f t="shared" si="6"/>
        <v>1000</v>
      </c>
      <c r="G77" s="391" t="s">
        <v>126</v>
      </c>
      <c r="H77" s="374">
        <v>45916</v>
      </c>
      <c r="I77" s="389"/>
      <c r="J77" s="76"/>
      <c r="K77" s="77"/>
      <c r="L77" s="76"/>
      <c r="M77" s="76"/>
    </row>
    <row r="78" spans="1:13" s="72" customFormat="1" ht="21.6" customHeight="1" x14ac:dyDescent="0.25">
      <c r="A78" s="85"/>
      <c r="C78" s="135" t="s">
        <v>139</v>
      </c>
      <c r="D78" s="98">
        <v>1</v>
      </c>
      <c r="E78" s="97">
        <v>500</v>
      </c>
      <c r="F78" s="348">
        <f t="shared" si="6"/>
        <v>500</v>
      </c>
      <c r="G78" s="391" t="s">
        <v>125</v>
      </c>
      <c r="H78" s="374">
        <v>45916</v>
      </c>
      <c r="I78" s="389"/>
      <c r="J78" s="76"/>
      <c r="K78" s="77"/>
      <c r="L78" s="76"/>
      <c r="M78" s="76"/>
    </row>
    <row r="79" spans="1:13" s="72" customFormat="1" ht="21.6" customHeight="1" thickBot="1" x14ac:dyDescent="0.3">
      <c r="A79" s="85"/>
      <c r="C79" s="304" t="s">
        <v>130</v>
      </c>
      <c r="D79" s="98">
        <v>3</v>
      </c>
      <c r="E79" s="97">
        <v>590</v>
      </c>
      <c r="F79" s="354">
        <f t="shared" si="6"/>
        <v>1770</v>
      </c>
      <c r="G79" s="391" t="s">
        <v>125</v>
      </c>
      <c r="H79" s="374">
        <v>45916</v>
      </c>
      <c r="I79" s="389"/>
      <c r="J79" s="76"/>
      <c r="K79" s="77"/>
      <c r="L79" s="76"/>
      <c r="M79" s="76"/>
    </row>
    <row r="80" spans="1:13" s="72" customFormat="1" ht="21.6" customHeight="1" x14ac:dyDescent="0.25">
      <c r="A80" s="85"/>
      <c r="C80" s="304" t="s">
        <v>49</v>
      </c>
      <c r="D80" s="98">
        <v>8</v>
      </c>
      <c r="E80" s="97">
        <v>2779</v>
      </c>
      <c r="F80" s="348">
        <f t="shared" si="6"/>
        <v>22232</v>
      </c>
      <c r="G80" s="391" t="s">
        <v>126</v>
      </c>
      <c r="H80" s="374">
        <v>45916</v>
      </c>
      <c r="I80" s="389"/>
      <c r="J80" s="76"/>
      <c r="K80" s="77"/>
      <c r="L80" s="76"/>
      <c r="M80" s="76"/>
    </row>
    <row r="81" spans="1:13" s="72" customFormat="1" ht="21.6" customHeight="1" thickBot="1" x14ac:dyDescent="0.3">
      <c r="A81" s="85"/>
      <c r="C81" s="304" t="s">
        <v>49</v>
      </c>
      <c r="D81" s="98">
        <v>12</v>
      </c>
      <c r="E81" s="97">
        <v>2779</v>
      </c>
      <c r="F81" s="354">
        <f t="shared" si="6"/>
        <v>33348</v>
      </c>
      <c r="G81" s="391" t="s">
        <v>125</v>
      </c>
      <c r="H81" s="374">
        <v>45916</v>
      </c>
      <c r="I81" s="389"/>
      <c r="J81" s="76"/>
      <c r="K81" s="77"/>
      <c r="L81" s="76"/>
      <c r="M81" s="76"/>
    </row>
    <row r="82" spans="1:13" s="72" customFormat="1" ht="21.6" customHeight="1" x14ac:dyDescent="0.25">
      <c r="A82" s="85"/>
      <c r="C82" s="304" t="s">
        <v>131</v>
      </c>
      <c r="D82" s="98">
        <v>4</v>
      </c>
      <c r="E82" s="97">
        <v>690</v>
      </c>
      <c r="F82" s="348">
        <f t="shared" si="6"/>
        <v>2760</v>
      </c>
      <c r="G82" s="391" t="s">
        <v>126</v>
      </c>
      <c r="H82" s="374">
        <v>45916</v>
      </c>
      <c r="I82" s="389"/>
      <c r="J82" s="76"/>
      <c r="K82" s="77"/>
      <c r="L82" s="76"/>
      <c r="M82" s="76"/>
    </row>
    <row r="83" spans="1:13" s="72" customFormat="1" ht="21.6" customHeight="1" thickBot="1" x14ac:dyDescent="0.3">
      <c r="A83" s="85"/>
      <c r="C83" s="304" t="s">
        <v>131</v>
      </c>
      <c r="D83" s="98">
        <v>2</v>
      </c>
      <c r="E83" s="97">
        <v>690</v>
      </c>
      <c r="F83" s="354">
        <f t="shared" si="6"/>
        <v>1380</v>
      </c>
      <c r="G83" s="391" t="s">
        <v>125</v>
      </c>
      <c r="H83" s="374">
        <v>45916</v>
      </c>
      <c r="I83" s="389"/>
      <c r="J83" s="76"/>
      <c r="K83" s="77"/>
      <c r="L83" s="76"/>
      <c r="M83" s="76"/>
    </row>
    <row r="84" spans="1:13" s="72" customFormat="1" ht="21.6" customHeight="1" x14ac:dyDescent="0.25">
      <c r="A84" s="85"/>
      <c r="C84" s="101" t="s">
        <v>52</v>
      </c>
      <c r="D84" s="98">
        <v>6</v>
      </c>
      <c r="E84" s="97">
        <v>690</v>
      </c>
      <c r="F84" s="348">
        <f t="shared" si="6"/>
        <v>4140</v>
      </c>
      <c r="G84" s="391" t="s">
        <v>125</v>
      </c>
      <c r="H84" s="374">
        <v>45916</v>
      </c>
      <c r="I84" s="389"/>
      <c r="J84" s="76"/>
      <c r="K84" s="77"/>
      <c r="L84" s="76"/>
      <c r="M84" s="76"/>
    </row>
    <row r="85" spans="1:13" s="72" customFormat="1" ht="21.6" customHeight="1" thickBot="1" x14ac:dyDescent="0.3">
      <c r="A85" s="85"/>
      <c r="C85" s="93" t="s">
        <v>54</v>
      </c>
      <c r="D85" s="98">
        <v>8</v>
      </c>
      <c r="E85" s="97">
        <v>560</v>
      </c>
      <c r="F85" s="354">
        <f t="shared" si="6"/>
        <v>4480</v>
      </c>
      <c r="G85" s="391" t="s">
        <v>126</v>
      </c>
      <c r="H85" s="374">
        <v>45916</v>
      </c>
      <c r="I85" s="389"/>
      <c r="J85" s="76"/>
      <c r="K85" s="77"/>
      <c r="L85" s="76"/>
      <c r="M85" s="76"/>
    </row>
    <row r="86" spans="1:13" s="72" customFormat="1" ht="21.6" customHeight="1" x14ac:dyDescent="0.25">
      <c r="A86" s="85"/>
      <c r="C86" s="93" t="s">
        <v>54</v>
      </c>
      <c r="D86" s="98">
        <v>4</v>
      </c>
      <c r="E86" s="97">
        <v>560</v>
      </c>
      <c r="F86" s="348">
        <f t="shared" si="6"/>
        <v>2240</v>
      </c>
      <c r="G86" s="391" t="s">
        <v>125</v>
      </c>
      <c r="H86" s="374">
        <v>45916</v>
      </c>
      <c r="I86" s="389"/>
      <c r="J86" s="76"/>
      <c r="K86" s="77"/>
      <c r="L86" s="76"/>
      <c r="M86" s="76"/>
    </row>
    <row r="87" spans="1:13" s="72" customFormat="1" ht="21.6" customHeight="1" thickBot="1" x14ac:dyDescent="0.3">
      <c r="A87" s="85"/>
      <c r="C87" s="93" t="s">
        <v>55</v>
      </c>
      <c r="D87" s="98">
        <v>1</v>
      </c>
      <c r="E87" s="97">
        <v>7300</v>
      </c>
      <c r="F87" s="354">
        <f t="shared" si="6"/>
        <v>7300</v>
      </c>
      <c r="G87" s="391" t="s">
        <v>127</v>
      </c>
      <c r="H87" s="374">
        <v>45916</v>
      </c>
      <c r="I87" s="389"/>
      <c r="J87" s="76"/>
      <c r="K87" s="77"/>
      <c r="L87" s="76"/>
      <c r="M87" s="76"/>
    </row>
    <row r="88" spans="1:13" s="72" customFormat="1" ht="21.6" customHeight="1" x14ac:dyDescent="0.25">
      <c r="A88" s="85"/>
      <c r="C88" s="93" t="s">
        <v>55</v>
      </c>
      <c r="D88" s="98">
        <v>3</v>
      </c>
      <c r="E88" s="97">
        <v>7300</v>
      </c>
      <c r="F88" s="348">
        <f t="shared" si="6"/>
        <v>21900</v>
      </c>
      <c r="G88" s="391" t="s">
        <v>125</v>
      </c>
      <c r="H88" s="374">
        <v>45916</v>
      </c>
      <c r="I88" s="389"/>
      <c r="J88" s="76"/>
      <c r="K88" s="77"/>
      <c r="L88" s="76"/>
      <c r="M88" s="76"/>
    </row>
    <row r="89" spans="1:13" s="72" customFormat="1" ht="21.6" customHeight="1" thickBot="1" x14ac:dyDescent="0.3">
      <c r="A89" s="85"/>
      <c r="C89" s="93" t="s">
        <v>57</v>
      </c>
      <c r="D89" s="98">
        <v>1</v>
      </c>
      <c r="E89" s="97">
        <v>7300</v>
      </c>
      <c r="F89" s="354">
        <f t="shared" si="6"/>
        <v>7300</v>
      </c>
      <c r="G89" s="391" t="s">
        <v>127</v>
      </c>
      <c r="H89" s="374">
        <v>45916</v>
      </c>
      <c r="I89" s="389"/>
      <c r="J89" s="76"/>
      <c r="K89" s="77"/>
      <c r="L89" s="76"/>
      <c r="M89" s="76"/>
    </row>
    <row r="90" spans="1:13" s="72" customFormat="1" ht="21.6" customHeight="1" x14ac:dyDescent="0.25">
      <c r="A90" s="85"/>
      <c r="C90" s="93" t="s">
        <v>57</v>
      </c>
      <c r="D90" s="98">
        <v>2</v>
      </c>
      <c r="E90" s="97">
        <v>7300</v>
      </c>
      <c r="F90" s="348">
        <f t="shared" si="6"/>
        <v>14600</v>
      </c>
      <c r="G90" s="391" t="s">
        <v>125</v>
      </c>
      <c r="H90" s="374">
        <v>45916</v>
      </c>
      <c r="I90" s="389"/>
      <c r="J90" s="76"/>
      <c r="K90" s="77"/>
      <c r="L90" s="76"/>
      <c r="M90" s="76"/>
    </row>
    <row r="91" spans="1:13" s="72" customFormat="1" ht="21.6" customHeight="1" thickBot="1" x14ac:dyDescent="0.3">
      <c r="A91" s="85"/>
      <c r="C91" s="93" t="s">
        <v>58</v>
      </c>
      <c r="D91" s="98">
        <v>12</v>
      </c>
      <c r="E91" s="97">
        <v>600</v>
      </c>
      <c r="F91" s="354">
        <f t="shared" si="6"/>
        <v>7200</v>
      </c>
      <c r="G91" s="391" t="s">
        <v>125</v>
      </c>
      <c r="H91" s="374">
        <v>45916</v>
      </c>
      <c r="I91" s="389"/>
      <c r="J91" s="76"/>
      <c r="K91" s="77"/>
      <c r="L91" s="76"/>
      <c r="M91" s="76"/>
    </row>
    <row r="92" spans="1:13" s="72" customFormat="1" ht="21.6" customHeight="1" x14ac:dyDescent="0.25">
      <c r="A92" s="85"/>
      <c r="C92" s="93" t="s">
        <v>59</v>
      </c>
      <c r="D92" s="98">
        <v>6</v>
      </c>
      <c r="E92" s="97">
        <v>1070</v>
      </c>
      <c r="F92" s="348">
        <f t="shared" si="6"/>
        <v>6420</v>
      </c>
      <c r="G92" s="391" t="s">
        <v>125</v>
      </c>
      <c r="H92" s="374">
        <v>45916</v>
      </c>
      <c r="I92" s="389"/>
      <c r="J92" s="76"/>
      <c r="K92" s="77"/>
      <c r="L92" s="76"/>
      <c r="M92" s="76"/>
    </row>
    <row r="93" spans="1:13" ht="21.6" customHeight="1" thickBot="1" x14ac:dyDescent="0.3">
      <c r="C93" s="259" t="s">
        <v>60</v>
      </c>
      <c r="D93" s="98">
        <v>6</v>
      </c>
      <c r="E93" s="97">
        <v>2569</v>
      </c>
      <c r="F93" s="354">
        <f t="shared" si="6"/>
        <v>15414</v>
      </c>
      <c r="G93" s="391" t="s">
        <v>125</v>
      </c>
      <c r="H93" s="374">
        <v>45916</v>
      </c>
      <c r="I93" s="389"/>
      <c r="J93" s="76"/>
      <c r="L93" s="76"/>
      <c r="M93" s="76"/>
    </row>
    <row r="94" spans="1:13" ht="21.6" customHeight="1" x14ac:dyDescent="0.25">
      <c r="C94" s="392" t="s">
        <v>143</v>
      </c>
      <c r="D94" s="98">
        <v>6</v>
      </c>
      <c r="F94" s="348">
        <f t="shared" si="6"/>
        <v>0</v>
      </c>
      <c r="G94" s="391" t="s">
        <v>125</v>
      </c>
      <c r="H94" s="374">
        <v>45916</v>
      </c>
      <c r="I94" s="389"/>
      <c r="J94" s="76"/>
      <c r="L94" s="76"/>
      <c r="M94" s="76"/>
    </row>
    <row r="95" spans="1:13" ht="21.6" customHeight="1" thickBot="1" x14ac:dyDescent="0.3">
      <c r="F95" s="354">
        <f t="shared" si="6"/>
        <v>0</v>
      </c>
      <c r="I95" s="389"/>
      <c r="J95" s="76"/>
      <c r="L95" s="76"/>
      <c r="M95" s="76"/>
    </row>
    <row r="96" spans="1:13" ht="21.6" customHeight="1" x14ac:dyDescent="0.25">
      <c r="F96" s="348">
        <f t="shared" si="6"/>
        <v>0</v>
      </c>
      <c r="I96" s="389"/>
      <c r="J96" s="76"/>
      <c r="L96" s="76"/>
      <c r="M96" s="76"/>
    </row>
    <row r="97" spans="6:13" ht="21.6" customHeight="1" thickBot="1" x14ac:dyDescent="0.3">
      <c r="F97" s="354">
        <f t="shared" si="6"/>
        <v>0</v>
      </c>
      <c r="I97" s="389"/>
      <c r="J97" s="76"/>
      <c r="L97" s="76"/>
      <c r="M97" s="76"/>
    </row>
    <row r="98" spans="6:13" ht="21.6" customHeight="1" x14ac:dyDescent="0.25">
      <c r="F98" s="348">
        <f t="shared" si="6"/>
        <v>0</v>
      </c>
      <c r="I98" s="389"/>
      <c r="J98" s="76"/>
      <c r="L98" s="76"/>
      <c r="M98" s="76"/>
    </row>
    <row r="99" spans="6:13" ht="21.6" customHeight="1" thickBot="1" x14ac:dyDescent="0.3">
      <c r="F99" s="354">
        <f t="shared" si="6"/>
        <v>0</v>
      </c>
      <c r="I99" s="389"/>
      <c r="J99" s="76"/>
      <c r="L99" s="76"/>
      <c r="M99" s="76"/>
    </row>
    <row r="100" spans="6:13" ht="21.6" customHeight="1" x14ac:dyDescent="0.25">
      <c r="F100" s="348">
        <f t="shared" si="6"/>
        <v>0</v>
      </c>
      <c r="I100" s="389"/>
      <c r="J100" s="76"/>
      <c r="L100" s="76"/>
      <c r="M100" s="76"/>
    </row>
    <row r="101" spans="6:13" ht="21.6" customHeight="1" thickBot="1" x14ac:dyDescent="0.3">
      <c r="F101" s="354">
        <f t="shared" si="6"/>
        <v>0</v>
      </c>
      <c r="I101" s="389"/>
      <c r="J101" s="76"/>
      <c r="L101" s="76"/>
      <c r="M101" s="76"/>
    </row>
    <row r="102" spans="6:13" ht="21.6" customHeight="1" x14ac:dyDescent="0.25">
      <c r="F102" s="348">
        <f t="shared" si="6"/>
        <v>0</v>
      </c>
      <c r="I102" s="389"/>
      <c r="J102" s="76"/>
      <c r="L102" s="76"/>
      <c r="M102" s="76"/>
    </row>
    <row r="103" spans="6:13" ht="21.6" customHeight="1" thickBot="1" x14ac:dyDescent="0.3">
      <c r="F103" s="354">
        <f t="shared" si="6"/>
        <v>0</v>
      </c>
      <c r="I103" s="389"/>
      <c r="J103" s="76"/>
      <c r="L103" s="76"/>
      <c r="M103" s="76"/>
    </row>
    <row r="104" spans="6:13" ht="21.6" customHeight="1" x14ac:dyDescent="0.25">
      <c r="F104" s="348">
        <f t="shared" si="6"/>
        <v>0</v>
      </c>
      <c r="I104" s="389"/>
      <c r="J104" s="76"/>
      <c r="L104" s="76"/>
      <c r="M104" s="76"/>
    </row>
    <row r="105" spans="6:13" ht="21.6" customHeight="1" thickBot="1" x14ac:dyDescent="0.3">
      <c r="F105" s="354">
        <f t="shared" si="6"/>
        <v>0</v>
      </c>
      <c r="I105" s="389"/>
      <c r="J105" s="76"/>
      <c r="L105" s="76"/>
      <c r="M105" s="76"/>
    </row>
    <row r="106" spans="6:13" ht="21.6" customHeight="1" x14ac:dyDescent="0.25">
      <c r="F106" s="348">
        <f t="shared" si="6"/>
        <v>0</v>
      </c>
      <c r="I106" s="389"/>
      <c r="J106" s="76"/>
      <c r="L106" s="76"/>
      <c r="M106" s="76"/>
    </row>
    <row r="107" spans="6:13" ht="21.6" customHeight="1" thickBot="1" x14ac:dyDescent="0.3">
      <c r="F107" s="354">
        <f t="shared" si="6"/>
        <v>0</v>
      </c>
      <c r="I107" s="389"/>
      <c r="J107" s="76"/>
      <c r="L107" s="76"/>
      <c r="M107" s="76"/>
    </row>
    <row r="108" spans="6:13" ht="21.6" customHeight="1" x14ac:dyDescent="0.25">
      <c r="F108" s="348">
        <f t="shared" si="6"/>
        <v>0</v>
      </c>
      <c r="I108" s="389"/>
      <c r="J108" s="76"/>
      <c r="L108" s="76"/>
      <c r="M108" s="76"/>
    </row>
    <row r="109" spans="6:13" ht="21.6" customHeight="1" thickBot="1" x14ac:dyDescent="0.3">
      <c r="F109" s="354">
        <f t="shared" si="6"/>
        <v>0</v>
      </c>
      <c r="H109" s="393"/>
      <c r="I109" s="389"/>
      <c r="J109" s="76"/>
      <c r="L109" s="76"/>
      <c r="M109" s="76"/>
    </row>
    <row r="110" spans="6:13" ht="21.6" customHeight="1" x14ac:dyDescent="0.25">
      <c r="F110" s="348">
        <f t="shared" si="6"/>
        <v>0</v>
      </c>
      <c r="H110" s="393"/>
      <c r="I110" s="389"/>
      <c r="J110" s="76"/>
      <c r="L110" s="76"/>
      <c r="M110" s="76"/>
    </row>
    <row r="111" spans="6:13" ht="21.6" customHeight="1" thickBot="1" x14ac:dyDescent="0.3">
      <c r="F111" s="354">
        <f t="shared" si="6"/>
        <v>0</v>
      </c>
      <c r="H111" s="393"/>
      <c r="I111" s="389"/>
      <c r="J111" s="76"/>
      <c r="L111" s="76"/>
      <c r="M111" s="76"/>
    </row>
    <row r="112" spans="6:13" ht="21.6" customHeight="1" x14ac:dyDescent="0.25">
      <c r="F112" s="348">
        <f t="shared" si="6"/>
        <v>0</v>
      </c>
      <c r="H112" s="393"/>
      <c r="I112" s="389"/>
      <c r="J112" s="76"/>
      <c r="L112" s="76"/>
      <c r="M112" s="76"/>
    </row>
    <row r="113" spans="8:13" ht="21.6" customHeight="1" x14ac:dyDescent="0.25">
      <c r="H113" s="393"/>
      <c r="I113" s="389"/>
      <c r="J113" s="76"/>
      <c r="L113" s="76"/>
      <c r="M113" s="76"/>
    </row>
    <row r="114" spans="8:13" ht="21.6" customHeight="1" x14ac:dyDescent="0.25">
      <c r="H114" s="393"/>
      <c r="I114" s="389"/>
      <c r="J114" s="76"/>
      <c r="L114" s="76"/>
      <c r="M114" s="76"/>
    </row>
    <row r="115" spans="8:13" ht="21.6" customHeight="1" x14ac:dyDescent="0.25">
      <c r="H115" s="393"/>
      <c r="I115" s="389"/>
      <c r="J115" s="76"/>
      <c r="L115" s="76"/>
      <c r="M115" s="76"/>
    </row>
    <row r="116" spans="8:13" ht="21.6" customHeight="1" x14ac:dyDescent="0.25">
      <c r="I116" s="389"/>
      <c r="J116" s="76"/>
      <c r="L116" s="76"/>
      <c r="M116" s="76"/>
    </row>
    <row r="117" spans="8:13" ht="21.6" customHeight="1" x14ac:dyDescent="0.25">
      <c r="I117" s="389"/>
      <c r="J117" s="76"/>
      <c r="L117" s="76"/>
      <c r="M117" s="76"/>
    </row>
    <row r="118" spans="8:13" ht="21.6" customHeight="1" x14ac:dyDescent="0.25">
      <c r="I118" s="389"/>
      <c r="J118" s="76"/>
      <c r="L118" s="76"/>
      <c r="M118" s="76"/>
    </row>
    <row r="119" spans="8:13" ht="21.6" customHeight="1" x14ac:dyDescent="0.25">
      <c r="I119" s="389"/>
      <c r="J119" s="76"/>
      <c r="L119" s="76"/>
      <c r="M119" s="76"/>
    </row>
    <row r="120" spans="8:13" ht="21.6" customHeight="1" x14ac:dyDescent="0.25">
      <c r="I120" s="389"/>
      <c r="J120" s="76"/>
      <c r="L120" s="76"/>
      <c r="M120" s="76"/>
    </row>
    <row r="121" spans="8:13" ht="21.6" customHeight="1" x14ac:dyDescent="0.25">
      <c r="I121" s="389"/>
      <c r="J121" s="76"/>
      <c r="L121" s="76"/>
      <c r="M121" s="76"/>
    </row>
    <row r="122" spans="8:13" ht="21.6" customHeight="1" x14ac:dyDescent="0.25">
      <c r="I122" s="389"/>
      <c r="J122" s="76"/>
      <c r="L122" s="76"/>
      <c r="M122" s="76"/>
    </row>
    <row r="123" spans="8:13" ht="21.6" customHeight="1" x14ac:dyDescent="0.25">
      <c r="I123" s="389"/>
      <c r="J123" s="76"/>
      <c r="L123" s="76"/>
      <c r="M123" s="76"/>
    </row>
    <row r="124" spans="8:13" ht="21.6" customHeight="1" x14ac:dyDescent="0.25">
      <c r="I124" s="389"/>
      <c r="J124" s="76"/>
      <c r="L124" s="76"/>
      <c r="M124" s="76"/>
    </row>
    <row r="125" spans="8:13" ht="21.6" customHeight="1" x14ac:dyDescent="0.25">
      <c r="I125" s="389"/>
      <c r="J125" s="76"/>
      <c r="L125" s="76"/>
      <c r="M125" s="76"/>
    </row>
    <row r="126" spans="8:13" ht="21.6" customHeight="1" x14ac:dyDescent="0.25">
      <c r="I126" s="389"/>
      <c r="J126" s="76"/>
      <c r="L126" s="76"/>
      <c r="M126" s="76"/>
    </row>
    <row r="127" spans="8:13" ht="21.6" customHeight="1" x14ac:dyDescent="0.25">
      <c r="I127" s="389"/>
      <c r="J127" s="76"/>
      <c r="L127" s="76"/>
      <c r="M127" s="76"/>
    </row>
  </sheetData>
  <autoFilter ref="A1:H94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3"/>
  <sheetViews>
    <sheetView zoomScale="91" zoomScaleNormal="91" workbookViewId="0">
      <pane ySplit="1" topLeftCell="A7" activePane="bottomLeft" state="frozen"/>
      <selection activeCell="C1" sqref="C1"/>
      <selection pane="bottomLeft" activeCell="H8" sqref="H8"/>
    </sheetView>
  </sheetViews>
  <sheetFormatPr defaultColWidth="24.5" defaultRowHeight="31.9" customHeight="1" x14ac:dyDescent="0.25"/>
  <cols>
    <col min="1" max="1" width="16.5" style="79" customWidth="1"/>
    <col min="2" max="2" width="15.375" style="79" customWidth="1"/>
    <col min="3" max="3" width="29.5" style="78" customWidth="1"/>
    <col min="4" max="4" width="8.625" style="79" customWidth="1"/>
    <col min="5" max="5" width="10.125" style="79" customWidth="1"/>
    <col min="6" max="6" width="10.75" style="79" customWidth="1"/>
    <col min="7" max="7" width="18.75" style="74" customWidth="1"/>
    <col min="8" max="8" width="10.5" style="134" customWidth="1"/>
    <col min="9" max="9" width="24.5" style="80"/>
    <col min="10" max="10" width="24.5" style="77"/>
    <col min="11" max="11" width="15.375" style="80" customWidth="1"/>
    <col min="12" max="12" width="13.25" style="80" customWidth="1"/>
    <col min="13" max="16384" width="24.5" style="79"/>
  </cols>
  <sheetData>
    <row r="1" spans="1:17" s="129" customFormat="1" ht="31.9" customHeight="1" thickBot="1" x14ac:dyDescent="0.3">
      <c r="A1" s="138" t="s">
        <v>27</v>
      </c>
      <c r="B1" s="139" t="s">
        <v>74</v>
      </c>
      <c r="C1" s="139" t="s">
        <v>19</v>
      </c>
      <c r="D1" s="140" t="s">
        <v>0</v>
      </c>
      <c r="E1" s="142" t="s">
        <v>1</v>
      </c>
      <c r="F1" s="142" t="s">
        <v>2</v>
      </c>
      <c r="G1" s="143" t="s">
        <v>11</v>
      </c>
      <c r="H1" s="134" t="s">
        <v>9</v>
      </c>
      <c r="I1" s="142" t="s">
        <v>14</v>
      </c>
      <c r="J1" s="142" t="s">
        <v>16</v>
      </c>
      <c r="K1" s="142" t="s">
        <v>18</v>
      </c>
      <c r="L1" s="142" t="s">
        <v>17</v>
      </c>
      <c r="M1" s="144" t="s">
        <v>13</v>
      </c>
      <c r="N1" s="145"/>
      <c r="O1" s="145"/>
      <c r="P1" s="145"/>
      <c r="Q1" s="145"/>
    </row>
    <row r="2" spans="1:17" s="72" customFormat="1" ht="31.9" customHeight="1" x14ac:dyDescent="0.25">
      <c r="A2" s="156">
        <v>20250227</v>
      </c>
      <c r="B2" s="157" t="s">
        <v>80</v>
      </c>
      <c r="C2" s="158" t="s">
        <v>82</v>
      </c>
      <c r="D2" s="159">
        <v>16</v>
      </c>
      <c r="E2" s="160">
        <v>260</v>
      </c>
      <c r="F2" s="161">
        <f>SUM(D2*E2)</f>
        <v>4160</v>
      </c>
      <c r="G2" s="162" t="s">
        <v>87</v>
      </c>
      <c r="H2" s="163">
        <v>20250401</v>
      </c>
      <c r="I2" s="164" t="s">
        <v>89</v>
      </c>
      <c r="J2" s="165"/>
      <c r="K2" s="164"/>
      <c r="L2" s="164"/>
      <c r="M2" s="166" t="s">
        <v>84</v>
      </c>
      <c r="N2" s="153"/>
      <c r="O2" s="148"/>
      <c r="P2" s="148"/>
      <c r="Q2" s="149"/>
    </row>
    <row r="3" spans="1:17" s="72" customFormat="1" ht="31.9" customHeight="1" x14ac:dyDescent="0.25">
      <c r="A3" s="167">
        <v>20250227</v>
      </c>
      <c r="B3" s="65" t="s">
        <v>80</v>
      </c>
      <c r="C3" s="133" t="s">
        <v>82</v>
      </c>
      <c r="D3" s="141">
        <v>12</v>
      </c>
      <c r="E3" s="137">
        <v>260</v>
      </c>
      <c r="F3" s="132">
        <f>SUM(D3*E3)</f>
        <v>3120</v>
      </c>
      <c r="G3" s="67" t="s">
        <v>87</v>
      </c>
      <c r="H3" s="136">
        <v>20250801</v>
      </c>
      <c r="I3" s="68" t="s">
        <v>86</v>
      </c>
      <c r="J3" s="73"/>
      <c r="K3" s="68"/>
      <c r="L3" s="68"/>
      <c r="M3" s="168" t="s">
        <v>84</v>
      </c>
      <c r="N3" s="154"/>
      <c r="Q3" s="150"/>
    </row>
    <row r="4" spans="1:17" s="72" customFormat="1" ht="31.9" customHeight="1" x14ac:dyDescent="0.25">
      <c r="A4" s="167">
        <v>20250227</v>
      </c>
      <c r="B4" s="65" t="s">
        <v>81</v>
      </c>
      <c r="C4" s="133" t="s">
        <v>83</v>
      </c>
      <c r="D4" s="141">
        <v>12</v>
      </c>
      <c r="E4" s="137">
        <v>700</v>
      </c>
      <c r="F4" s="132">
        <f>SUM(D4*E4)</f>
        <v>8400</v>
      </c>
      <c r="G4" s="67" t="s">
        <v>87</v>
      </c>
      <c r="H4" s="136">
        <v>20250401</v>
      </c>
      <c r="I4" s="68" t="s">
        <v>89</v>
      </c>
      <c r="J4" s="73"/>
      <c r="K4" s="68"/>
      <c r="L4" s="68"/>
      <c r="M4" s="168" t="s">
        <v>84</v>
      </c>
      <c r="N4" s="154"/>
      <c r="Q4" s="150"/>
    </row>
    <row r="5" spans="1:17" s="72" customFormat="1" ht="31.9" customHeight="1" thickBot="1" x14ac:dyDescent="0.3">
      <c r="A5" s="169">
        <v>20250227</v>
      </c>
      <c r="B5" s="117" t="s">
        <v>81</v>
      </c>
      <c r="C5" s="170" t="s">
        <v>83</v>
      </c>
      <c r="D5" s="171">
        <v>4</v>
      </c>
      <c r="E5" s="172">
        <v>700</v>
      </c>
      <c r="F5" s="173">
        <f>SUM(D5*E5)</f>
        <v>2800</v>
      </c>
      <c r="G5" s="108" t="s">
        <v>87</v>
      </c>
      <c r="H5" s="174" t="s">
        <v>79</v>
      </c>
      <c r="I5" s="120" t="s">
        <v>86</v>
      </c>
      <c r="J5" s="175"/>
      <c r="K5" s="120"/>
      <c r="L5" s="120"/>
      <c r="M5" s="176" t="s">
        <v>84</v>
      </c>
      <c r="N5" s="155"/>
      <c r="O5" s="151"/>
      <c r="P5" s="151"/>
      <c r="Q5" s="152"/>
    </row>
    <row r="6" spans="1:17" s="71" customFormat="1" ht="31.9" customHeight="1" x14ac:dyDescent="0.25">
      <c r="A6" s="182">
        <v>20250806</v>
      </c>
      <c r="B6" s="183" t="s">
        <v>75</v>
      </c>
      <c r="C6" s="184" t="s">
        <v>76</v>
      </c>
      <c r="D6" s="185">
        <v>2</v>
      </c>
      <c r="E6" s="160">
        <v>320</v>
      </c>
      <c r="F6" s="161">
        <f t="shared" ref="F6:F7" si="0">SUM(D6*E6)</f>
        <v>640</v>
      </c>
      <c r="G6" s="162" t="s">
        <v>88</v>
      </c>
      <c r="H6" s="163" t="s">
        <v>79</v>
      </c>
      <c r="I6" s="164" t="s">
        <v>85</v>
      </c>
      <c r="J6" s="186"/>
      <c r="K6" s="164"/>
      <c r="L6" s="164"/>
      <c r="M6" s="166" t="s">
        <v>84</v>
      </c>
      <c r="N6" s="177"/>
      <c r="O6" s="147"/>
      <c r="P6" s="147"/>
      <c r="Q6" s="147"/>
    </row>
    <row r="7" spans="1:17" s="72" customFormat="1" ht="42.6" customHeight="1" thickBot="1" x14ac:dyDescent="0.3">
      <c r="A7" s="187">
        <v>20250806</v>
      </c>
      <c r="B7" s="188" t="s">
        <v>77</v>
      </c>
      <c r="C7" s="189" t="s">
        <v>78</v>
      </c>
      <c r="D7" s="190">
        <v>2</v>
      </c>
      <c r="E7" s="191">
        <v>260</v>
      </c>
      <c r="F7" s="173">
        <f t="shared" si="0"/>
        <v>520</v>
      </c>
      <c r="G7" s="108" t="s">
        <v>88</v>
      </c>
      <c r="H7" s="136" t="s">
        <v>79</v>
      </c>
      <c r="I7" s="120" t="s">
        <v>85</v>
      </c>
      <c r="J7" s="192"/>
      <c r="K7" s="120"/>
      <c r="L7" s="120"/>
      <c r="M7" s="176" t="s">
        <v>84</v>
      </c>
      <c r="N7" s="154"/>
    </row>
    <row r="8" spans="1:17" ht="31.9" customHeight="1" x14ac:dyDescent="0.25">
      <c r="A8" s="178"/>
      <c r="B8" s="178"/>
      <c r="C8" s="179"/>
      <c r="D8" s="178"/>
      <c r="E8" s="178"/>
      <c r="F8" s="178"/>
      <c r="G8" s="180"/>
      <c r="H8" s="355"/>
      <c r="I8" s="181"/>
      <c r="J8" s="105"/>
      <c r="K8" s="181"/>
      <c r="L8" s="181"/>
      <c r="M8" s="178"/>
    </row>
    <row r="9" spans="1:17" ht="31.9" customHeight="1" x14ac:dyDescent="0.25">
      <c r="H9" s="355"/>
    </row>
    <row r="10" spans="1:17" ht="31.9" customHeight="1" x14ac:dyDescent="0.25">
      <c r="H10" s="355"/>
    </row>
    <row r="11" spans="1:17" ht="31.9" customHeight="1" x14ac:dyDescent="0.25">
      <c r="H11" s="355"/>
    </row>
    <row r="12" spans="1:17" s="72" customFormat="1" ht="31.9" customHeight="1" x14ac:dyDescent="0.25">
      <c r="A12" s="135"/>
      <c r="B12" s="65"/>
      <c r="C12" s="66"/>
      <c r="D12" s="130"/>
      <c r="E12" s="131"/>
      <c r="F12" s="132"/>
      <c r="G12" s="67"/>
      <c r="H12" s="355"/>
      <c r="I12" s="68"/>
      <c r="J12" s="73"/>
      <c r="K12" s="68"/>
      <c r="L12" s="68"/>
      <c r="M12" s="74"/>
    </row>
    <row r="13" spans="1:17" s="72" customFormat="1" ht="31.9" customHeight="1" x14ac:dyDescent="0.25">
      <c r="A13" s="135"/>
      <c r="B13" s="65"/>
      <c r="C13" s="66"/>
      <c r="D13" s="130"/>
      <c r="E13" s="131"/>
      <c r="F13" s="132"/>
      <c r="G13" s="67"/>
      <c r="H13" s="355"/>
      <c r="I13" s="68"/>
      <c r="J13" s="73"/>
      <c r="K13" s="68"/>
      <c r="L13" s="68"/>
      <c r="M13" s="74"/>
    </row>
    <row r="14" spans="1:17" s="72" customFormat="1" ht="31.9" customHeight="1" x14ac:dyDescent="0.25">
      <c r="A14" s="135"/>
      <c r="B14" s="65"/>
      <c r="C14" s="66"/>
      <c r="D14" s="130"/>
      <c r="E14" s="131"/>
      <c r="F14" s="132"/>
      <c r="G14" s="67"/>
      <c r="H14" s="355"/>
      <c r="I14" s="68"/>
      <c r="J14" s="73"/>
      <c r="K14" s="68"/>
      <c r="L14" s="68"/>
      <c r="M14" s="74"/>
    </row>
    <row r="15" spans="1:17" s="72" customFormat="1" ht="31.9" customHeight="1" x14ac:dyDescent="0.25">
      <c r="A15" s="135"/>
      <c r="B15" s="65"/>
      <c r="C15" s="66"/>
      <c r="D15" s="130"/>
      <c r="E15" s="131"/>
      <c r="F15" s="132"/>
      <c r="G15" s="67"/>
      <c r="H15" s="355"/>
      <c r="I15" s="68"/>
      <c r="J15" s="73"/>
      <c r="K15" s="68"/>
      <c r="L15" s="68"/>
      <c r="M15" s="74"/>
    </row>
    <row r="16" spans="1:17" s="72" customFormat="1" ht="31.9" customHeight="1" x14ac:dyDescent="0.25">
      <c r="A16" s="135"/>
      <c r="B16" s="65"/>
      <c r="C16" s="66"/>
      <c r="D16" s="130"/>
      <c r="E16" s="131"/>
      <c r="F16" s="132"/>
      <c r="G16" s="67"/>
      <c r="H16" s="355"/>
      <c r="I16" s="68"/>
      <c r="J16" s="73"/>
      <c r="K16" s="68"/>
      <c r="L16" s="68"/>
      <c r="M16" s="74"/>
    </row>
    <row r="17" spans="1:13" s="72" customFormat="1" ht="31.9" customHeight="1" x14ac:dyDescent="0.25">
      <c r="A17" s="135"/>
      <c r="B17" s="65"/>
      <c r="C17" s="66"/>
      <c r="D17" s="130"/>
      <c r="E17" s="131"/>
      <c r="F17" s="132"/>
      <c r="G17" s="67"/>
      <c r="H17" s="355"/>
      <c r="I17" s="68"/>
      <c r="J17" s="73"/>
      <c r="K17" s="68"/>
      <c r="L17" s="68"/>
      <c r="M17" s="74"/>
    </row>
    <row r="18" spans="1:13" s="72" customFormat="1" ht="31.9" customHeight="1" x14ac:dyDescent="0.25">
      <c r="A18" s="135"/>
      <c r="B18" s="65"/>
      <c r="C18" s="66"/>
      <c r="D18" s="130"/>
      <c r="E18" s="131"/>
      <c r="F18" s="132"/>
      <c r="G18" s="67"/>
      <c r="H18" s="355"/>
      <c r="I18" s="68"/>
      <c r="J18" s="73"/>
      <c r="K18" s="68"/>
      <c r="L18" s="68"/>
      <c r="M18" s="74"/>
    </row>
    <row r="19" spans="1:13" s="72" customFormat="1" ht="31.9" customHeight="1" x14ac:dyDescent="0.25">
      <c r="A19" s="135"/>
      <c r="B19" s="65"/>
      <c r="C19" s="66"/>
      <c r="D19" s="130"/>
      <c r="E19" s="131"/>
      <c r="F19" s="132"/>
      <c r="G19" s="67"/>
      <c r="H19" s="355"/>
      <c r="I19" s="68"/>
      <c r="J19" s="73"/>
      <c r="K19" s="68"/>
      <c r="L19" s="68"/>
      <c r="M19" s="74"/>
    </row>
    <row r="20" spans="1:13" s="72" customFormat="1" ht="31.9" customHeight="1" x14ac:dyDescent="0.25">
      <c r="A20" s="135"/>
      <c r="B20" s="65"/>
      <c r="C20" s="66"/>
      <c r="D20" s="130"/>
      <c r="E20" s="131"/>
      <c r="F20" s="132"/>
      <c r="G20" s="67"/>
      <c r="H20" s="355"/>
      <c r="I20" s="68"/>
      <c r="J20" s="73"/>
      <c r="K20" s="68"/>
      <c r="L20" s="68"/>
      <c r="M20" s="74"/>
    </row>
    <row r="21" spans="1:13" s="72" customFormat="1" ht="31.9" customHeight="1" x14ac:dyDescent="0.25">
      <c r="C21" s="75"/>
      <c r="G21" s="74"/>
      <c r="H21" s="355"/>
      <c r="I21" s="76"/>
      <c r="J21" s="77"/>
      <c r="K21" s="76"/>
      <c r="L21" s="76"/>
    </row>
    <row r="22" spans="1:13" s="72" customFormat="1" ht="31.9" customHeight="1" x14ac:dyDescent="0.25">
      <c r="C22" s="75"/>
      <c r="G22" s="74"/>
      <c r="H22" s="134"/>
      <c r="I22" s="76"/>
      <c r="J22" s="77"/>
      <c r="K22" s="76"/>
      <c r="L22" s="76"/>
    </row>
    <row r="23" spans="1:13" s="72" customFormat="1" ht="31.9" customHeight="1" x14ac:dyDescent="0.25">
      <c r="C23" s="75"/>
      <c r="G23" s="74"/>
      <c r="H23" s="134"/>
      <c r="I23" s="76"/>
      <c r="J23" s="77"/>
      <c r="K23" s="76"/>
      <c r="L23" s="76"/>
    </row>
    <row r="24" spans="1:13" s="72" customFormat="1" ht="31.9" customHeight="1" x14ac:dyDescent="0.25">
      <c r="C24" s="75"/>
      <c r="G24" s="74"/>
      <c r="H24" s="134"/>
      <c r="I24" s="76"/>
      <c r="J24" s="77"/>
      <c r="K24" s="76"/>
      <c r="L24" s="76"/>
    </row>
    <row r="25" spans="1:13" s="72" customFormat="1" ht="31.9" customHeight="1" x14ac:dyDescent="0.25">
      <c r="C25" s="75"/>
      <c r="G25" s="74"/>
      <c r="H25" s="134"/>
      <c r="I25" s="76"/>
      <c r="J25" s="77"/>
      <c r="K25" s="76"/>
      <c r="L25" s="76"/>
    </row>
    <row r="26" spans="1:13" s="72" customFormat="1" ht="31.9" customHeight="1" x14ac:dyDescent="0.25">
      <c r="C26" s="75"/>
      <c r="G26" s="74"/>
      <c r="H26" s="134"/>
      <c r="I26" s="76"/>
      <c r="J26" s="77"/>
      <c r="K26" s="76"/>
      <c r="L26" s="76"/>
    </row>
    <row r="27" spans="1:13" s="72" customFormat="1" ht="31.9" customHeight="1" x14ac:dyDescent="0.25">
      <c r="C27" s="75"/>
      <c r="G27" s="74"/>
      <c r="H27" s="134"/>
      <c r="I27" s="76"/>
      <c r="J27" s="77"/>
      <c r="K27" s="76"/>
      <c r="L27" s="76"/>
    </row>
    <row r="28" spans="1:13" s="72" customFormat="1" ht="31.9" customHeight="1" x14ac:dyDescent="0.25">
      <c r="C28" s="75"/>
      <c r="G28" s="74"/>
      <c r="H28" s="134"/>
      <c r="I28" s="76"/>
      <c r="J28" s="77"/>
      <c r="K28" s="76"/>
      <c r="L28" s="76"/>
    </row>
    <row r="29" spans="1:13" s="72" customFormat="1" ht="31.9" customHeight="1" x14ac:dyDescent="0.25">
      <c r="C29" s="75"/>
      <c r="G29" s="74"/>
      <c r="H29" s="134"/>
      <c r="I29" s="76"/>
      <c r="J29" s="77"/>
      <c r="K29" s="76"/>
      <c r="L29" s="76"/>
    </row>
    <row r="30" spans="1:13" s="72" customFormat="1" ht="31.9" customHeight="1" x14ac:dyDescent="0.25">
      <c r="C30" s="75"/>
      <c r="G30" s="74"/>
      <c r="H30" s="134"/>
      <c r="I30" s="76"/>
      <c r="J30" s="77"/>
      <c r="K30" s="76"/>
      <c r="L30" s="76"/>
    </row>
    <row r="31" spans="1:13" s="72" customFormat="1" ht="31.9" customHeight="1" x14ac:dyDescent="0.25">
      <c r="C31" s="75"/>
      <c r="G31" s="74"/>
      <c r="H31" s="134"/>
      <c r="I31" s="76"/>
      <c r="J31" s="77"/>
      <c r="K31" s="76"/>
      <c r="L31" s="76"/>
    </row>
    <row r="32" spans="1:13" s="72" customFormat="1" ht="31.9" customHeight="1" x14ac:dyDescent="0.25">
      <c r="C32" s="75"/>
      <c r="G32" s="74"/>
      <c r="H32" s="134"/>
      <c r="I32" s="76"/>
      <c r="J32" s="77"/>
      <c r="K32" s="76"/>
      <c r="L32" s="76"/>
    </row>
    <row r="33" spans="3:12" s="72" customFormat="1" ht="31.9" customHeight="1" x14ac:dyDescent="0.25">
      <c r="C33" s="75"/>
      <c r="G33" s="74"/>
      <c r="H33" s="134"/>
      <c r="I33" s="76"/>
      <c r="J33" s="77"/>
      <c r="K33" s="76"/>
      <c r="L33" s="76"/>
    </row>
    <row r="34" spans="3:12" s="72" customFormat="1" ht="31.9" customHeight="1" x14ac:dyDescent="0.25">
      <c r="C34" s="75"/>
      <c r="G34" s="74"/>
      <c r="H34" s="134"/>
      <c r="I34" s="76"/>
      <c r="J34" s="77"/>
      <c r="K34" s="76"/>
      <c r="L34" s="76"/>
    </row>
    <row r="35" spans="3:12" s="72" customFormat="1" ht="31.9" customHeight="1" x14ac:dyDescent="0.25">
      <c r="C35" s="75"/>
      <c r="G35" s="74"/>
      <c r="H35" s="134"/>
      <c r="I35" s="76"/>
      <c r="J35" s="77"/>
      <c r="K35" s="76"/>
      <c r="L35" s="76"/>
    </row>
    <row r="36" spans="3:12" s="72" customFormat="1" ht="31.9" customHeight="1" x14ac:dyDescent="0.25">
      <c r="C36" s="75"/>
      <c r="G36" s="74"/>
      <c r="H36" s="134"/>
      <c r="I36" s="76"/>
      <c r="J36" s="77"/>
      <c r="K36" s="76"/>
      <c r="L36" s="76"/>
    </row>
    <row r="37" spans="3:12" s="72" customFormat="1" ht="31.9" customHeight="1" x14ac:dyDescent="0.25">
      <c r="C37" s="75"/>
      <c r="G37" s="74"/>
      <c r="H37" s="134"/>
      <c r="I37" s="76"/>
      <c r="J37" s="77"/>
      <c r="K37" s="76"/>
      <c r="L37" s="76"/>
    </row>
    <row r="38" spans="3:12" s="72" customFormat="1" ht="31.9" customHeight="1" x14ac:dyDescent="0.25">
      <c r="C38" s="75"/>
      <c r="G38" s="74"/>
      <c r="H38" s="134"/>
      <c r="I38" s="76"/>
      <c r="J38" s="77"/>
      <c r="K38" s="76"/>
      <c r="L38" s="76"/>
    </row>
    <row r="39" spans="3:12" s="72" customFormat="1" ht="31.9" customHeight="1" x14ac:dyDescent="0.25">
      <c r="C39" s="75"/>
      <c r="G39" s="74"/>
      <c r="H39" s="134"/>
      <c r="I39" s="76"/>
      <c r="J39" s="77"/>
      <c r="K39" s="76"/>
      <c r="L39" s="76"/>
    </row>
    <row r="40" spans="3:12" s="72" customFormat="1" ht="31.9" customHeight="1" x14ac:dyDescent="0.25">
      <c r="C40" s="75"/>
      <c r="G40" s="74"/>
      <c r="H40" s="134"/>
      <c r="I40" s="76"/>
      <c r="J40" s="77"/>
      <c r="K40" s="76"/>
      <c r="L40" s="76"/>
    </row>
    <row r="41" spans="3:12" s="72" customFormat="1" ht="31.9" customHeight="1" x14ac:dyDescent="0.25">
      <c r="C41" s="75"/>
      <c r="G41" s="74"/>
      <c r="H41" s="134"/>
      <c r="I41" s="76"/>
      <c r="J41" s="77"/>
      <c r="K41" s="76"/>
      <c r="L41" s="76"/>
    </row>
    <row r="42" spans="3:12" s="72" customFormat="1" ht="31.9" customHeight="1" x14ac:dyDescent="0.25">
      <c r="C42" s="75"/>
      <c r="G42" s="74"/>
      <c r="H42" s="134"/>
      <c r="I42" s="76"/>
      <c r="J42" s="77"/>
      <c r="K42" s="76"/>
      <c r="L42" s="76"/>
    </row>
    <row r="43" spans="3:12" s="72" customFormat="1" ht="31.9" customHeight="1" x14ac:dyDescent="0.25">
      <c r="C43" s="75"/>
      <c r="G43" s="74"/>
      <c r="H43" s="134"/>
      <c r="I43" s="76"/>
      <c r="J43" s="77"/>
      <c r="K43" s="76"/>
      <c r="L43" s="76"/>
    </row>
    <row r="44" spans="3:12" s="72" customFormat="1" ht="31.9" customHeight="1" x14ac:dyDescent="0.25">
      <c r="C44" s="75"/>
      <c r="G44" s="74"/>
      <c r="H44" s="134"/>
      <c r="I44" s="76"/>
      <c r="J44" s="77"/>
      <c r="K44" s="76"/>
      <c r="L44" s="76"/>
    </row>
    <row r="45" spans="3:12" s="72" customFormat="1" ht="31.9" customHeight="1" x14ac:dyDescent="0.25">
      <c r="C45" s="75"/>
      <c r="G45" s="74"/>
      <c r="H45" s="134"/>
      <c r="I45" s="76"/>
      <c r="J45" s="77"/>
      <c r="K45" s="76"/>
      <c r="L45" s="76"/>
    </row>
    <row r="46" spans="3:12" s="72" customFormat="1" ht="31.9" customHeight="1" x14ac:dyDescent="0.25">
      <c r="C46" s="75"/>
      <c r="G46" s="74"/>
      <c r="H46" s="134"/>
      <c r="I46" s="76"/>
      <c r="J46" s="77"/>
      <c r="K46" s="76"/>
      <c r="L46" s="76"/>
    </row>
    <row r="47" spans="3:12" s="72" customFormat="1" ht="31.9" customHeight="1" x14ac:dyDescent="0.25">
      <c r="C47" s="75"/>
      <c r="G47" s="74"/>
      <c r="H47" s="134"/>
      <c r="I47" s="76"/>
      <c r="J47" s="77"/>
      <c r="K47" s="76"/>
      <c r="L47" s="76"/>
    </row>
    <row r="48" spans="3:12" s="72" customFormat="1" ht="31.9" customHeight="1" x14ac:dyDescent="0.25">
      <c r="C48" s="75"/>
      <c r="G48" s="74"/>
      <c r="H48" s="134"/>
      <c r="I48" s="76"/>
      <c r="J48" s="77"/>
      <c r="K48" s="76"/>
      <c r="L48" s="76"/>
    </row>
    <row r="49" spans="3:12" s="72" customFormat="1" ht="31.9" customHeight="1" x14ac:dyDescent="0.25">
      <c r="C49" s="75"/>
      <c r="G49" s="74"/>
      <c r="H49" s="134"/>
      <c r="I49" s="76"/>
      <c r="J49" s="77"/>
      <c r="K49" s="76"/>
      <c r="L49" s="76"/>
    </row>
    <row r="50" spans="3:12" s="72" customFormat="1" ht="31.9" customHeight="1" x14ac:dyDescent="0.25">
      <c r="C50" s="75"/>
      <c r="G50" s="74"/>
      <c r="H50" s="134"/>
      <c r="I50" s="76"/>
      <c r="J50" s="77"/>
      <c r="K50" s="76"/>
      <c r="L50" s="76"/>
    </row>
    <row r="51" spans="3:12" s="72" customFormat="1" ht="31.9" customHeight="1" x14ac:dyDescent="0.25">
      <c r="C51" s="75"/>
      <c r="G51" s="74"/>
      <c r="H51" s="134"/>
      <c r="I51" s="76"/>
      <c r="J51" s="77"/>
      <c r="K51" s="76"/>
      <c r="L51" s="76"/>
    </row>
    <row r="52" spans="3:12" s="72" customFormat="1" ht="31.9" customHeight="1" x14ac:dyDescent="0.25">
      <c r="C52" s="75"/>
      <c r="G52" s="74"/>
      <c r="H52" s="134"/>
      <c r="I52" s="76"/>
      <c r="J52" s="77"/>
      <c r="K52" s="76"/>
      <c r="L52" s="76"/>
    </row>
    <row r="53" spans="3:12" s="72" customFormat="1" ht="31.9" customHeight="1" x14ac:dyDescent="0.25">
      <c r="C53" s="75"/>
      <c r="G53" s="74"/>
      <c r="H53" s="134"/>
      <c r="I53" s="76"/>
      <c r="J53" s="77"/>
      <c r="K53" s="76"/>
      <c r="L53" s="76"/>
    </row>
    <row r="54" spans="3:12" s="72" customFormat="1" ht="31.9" customHeight="1" x14ac:dyDescent="0.25">
      <c r="C54" s="75"/>
      <c r="G54" s="74"/>
      <c r="H54" s="134"/>
      <c r="I54" s="76"/>
      <c r="J54" s="77"/>
      <c r="K54" s="76"/>
      <c r="L54" s="76"/>
    </row>
    <row r="55" spans="3:12" s="72" customFormat="1" ht="31.9" customHeight="1" x14ac:dyDescent="0.25">
      <c r="C55" s="75"/>
      <c r="G55" s="74"/>
      <c r="H55" s="134"/>
      <c r="I55" s="76"/>
      <c r="J55" s="77"/>
      <c r="K55" s="76"/>
      <c r="L55" s="76"/>
    </row>
    <row r="56" spans="3:12" s="72" customFormat="1" ht="31.9" customHeight="1" x14ac:dyDescent="0.25">
      <c r="C56" s="75"/>
      <c r="G56" s="74"/>
      <c r="H56" s="134"/>
      <c r="I56" s="76"/>
      <c r="J56" s="77"/>
      <c r="K56" s="76"/>
      <c r="L56" s="76"/>
    </row>
    <row r="57" spans="3:12" s="72" customFormat="1" ht="31.9" customHeight="1" x14ac:dyDescent="0.25">
      <c r="C57" s="75"/>
      <c r="G57" s="74"/>
      <c r="H57" s="134"/>
      <c r="I57" s="76"/>
      <c r="J57" s="77"/>
      <c r="K57" s="76"/>
      <c r="L57" s="76"/>
    </row>
    <row r="58" spans="3:12" s="72" customFormat="1" ht="31.9" customHeight="1" x14ac:dyDescent="0.25">
      <c r="C58" s="75"/>
      <c r="G58" s="74"/>
      <c r="H58" s="134"/>
      <c r="I58" s="76"/>
      <c r="J58" s="77"/>
      <c r="K58" s="76"/>
      <c r="L58" s="76"/>
    </row>
    <row r="59" spans="3:12" s="72" customFormat="1" ht="31.9" customHeight="1" x14ac:dyDescent="0.25">
      <c r="C59" s="75"/>
      <c r="G59" s="74"/>
      <c r="H59" s="134"/>
      <c r="I59" s="76"/>
      <c r="J59" s="77"/>
      <c r="K59" s="76"/>
      <c r="L59" s="76"/>
    </row>
    <row r="60" spans="3:12" s="72" customFormat="1" ht="31.9" customHeight="1" x14ac:dyDescent="0.25">
      <c r="C60" s="75"/>
      <c r="G60" s="74"/>
      <c r="H60" s="134"/>
      <c r="I60" s="76"/>
      <c r="J60" s="77"/>
      <c r="K60" s="76"/>
      <c r="L60" s="76"/>
    </row>
    <row r="61" spans="3:12" s="72" customFormat="1" ht="31.9" customHeight="1" x14ac:dyDescent="0.25">
      <c r="C61" s="75"/>
      <c r="G61" s="74"/>
      <c r="H61" s="134"/>
      <c r="I61" s="76"/>
      <c r="J61" s="77"/>
      <c r="K61" s="76"/>
      <c r="L61" s="76"/>
    </row>
    <row r="62" spans="3:12" s="72" customFormat="1" ht="31.9" customHeight="1" x14ac:dyDescent="0.25">
      <c r="C62" s="75"/>
      <c r="G62" s="74"/>
      <c r="H62" s="134"/>
      <c r="I62" s="76"/>
      <c r="J62" s="77"/>
      <c r="K62" s="76"/>
      <c r="L62" s="76"/>
    </row>
    <row r="63" spans="3:12" s="72" customFormat="1" ht="31.9" customHeight="1" x14ac:dyDescent="0.25">
      <c r="C63" s="75"/>
      <c r="G63" s="74"/>
      <c r="H63" s="134"/>
      <c r="I63" s="76"/>
      <c r="J63" s="77"/>
      <c r="K63" s="76"/>
      <c r="L63" s="76"/>
    </row>
    <row r="64" spans="3:12" s="72" customFormat="1" ht="31.9" customHeight="1" x14ac:dyDescent="0.25">
      <c r="C64" s="75"/>
      <c r="G64" s="74"/>
      <c r="H64" s="134"/>
      <c r="I64" s="76"/>
      <c r="J64" s="77"/>
      <c r="K64" s="76"/>
      <c r="L64" s="76"/>
    </row>
    <row r="65" spans="3:12" s="72" customFormat="1" ht="31.9" customHeight="1" x14ac:dyDescent="0.25">
      <c r="C65" s="75"/>
      <c r="G65" s="74"/>
      <c r="H65" s="134"/>
      <c r="I65" s="76"/>
      <c r="J65" s="77"/>
      <c r="K65" s="76"/>
      <c r="L65" s="76"/>
    </row>
    <row r="66" spans="3:12" s="72" customFormat="1" ht="31.9" customHeight="1" x14ac:dyDescent="0.25">
      <c r="C66" s="75"/>
      <c r="G66" s="74"/>
      <c r="H66" s="134"/>
      <c r="I66" s="76"/>
      <c r="J66" s="77"/>
      <c r="K66" s="76"/>
      <c r="L66" s="76"/>
    </row>
    <row r="67" spans="3:12" s="72" customFormat="1" ht="31.9" customHeight="1" x14ac:dyDescent="0.25">
      <c r="C67" s="75"/>
      <c r="G67" s="74"/>
      <c r="H67" s="134"/>
      <c r="I67" s="76"/>
      <c r="J67" s="77"/>
      <c r="K67" s="76"/>
      <c r="L67" s="76"/>
    </row>
    <row r="68" spans="3:12" s="72" customFormat="1" ht="31.9" customHeight="1" x14ac:dyDescent="0.25">
      <c r="C68" s="75"/>
      <c r="G68" s="74"/>
      <c r="H68" s="134"/>
      <c r="I68" s="76"/>
      <c r="J68" s="77"/>
      <c r="K68" s="76"/>
      <c r="L68" s="76"/>
    </row>
    <row r="69" spans="3:12" s="72" customFormat="1" ht="31.9" customHeight="1" x14ac:dyDescent="0.25">
      <c r="C69" s="75"/>
      <c r="G69" s="74"/>
      <c r="H69" s="134"/>
      <c r="I69" s="76"/>
      <c r="J69" s="77"/>
      <c r="K69" s="76"/>
      <c r="L69" s="76"/>
    </row>
    <row r="70" spans="3:12" s="72" customFormat="1" ht="31.9" customHeight="1" x14ac:dyDescent="0.25">
      <c r="C70" s="75"/>
      <c r="G70" s="74"/>
      <c r="H70" s="134"/>
      <c r="I70" s="76"/>
      <c r="J70" s="77"/>
      <c r="K70" s="76"/>
      <c r="L70" s="76"/>
    </row>
    <row r="71" spans="3:12" s="72" customFormat="1" ht="31.9" customHeight="1" x14ac:dyDescent="0.25">
      <c r="C71" s="75"/>
      <c r="G71" s="74"/>
      <c r="H71" s="134"/>
      <c r="I71" s="76"/>
      <c r="J71" s="77"/>
      <c r="K71" s="76"/>
      <c r="L71" s="76"/>
    </row>
    <row r="72" spans="3:12" s="72" customFormat="1" ht="31.9" customHeight="1" x14ac:dyDescent="0.25">
      <c r="C72" s="75"/>
      <c r="G72" s="74"/>
      <c r="H72" s="134"/>
      <c r="I72" s="76"/>
      <c r="J72" s="77"/>
      <c r="K72" s="76"/>
      <c r="L72" s="76"/>
    </row>
    <row r="73" spans="3:12" s="72" customFormat="1" ht="31.9" customHeight="1" x14ac:dyDescent="0.25">
      <c r="C73" s="75"/>
      <c r="G73" s="74"/>
      <c r="H73" s="134"/>
      <c r="I73" s="76"/>
      <c r="J73" s="77"/>
      <c r="K73" s="76"/>
      <c r="L73" s="76"/>
    </row>
    <row r="74" spans="3:12" s="72" customFormat="1" ht="31.9" customHeight="1" x14ac:dyDescent="0.25">
      <c r="C74" s="75"/>
      <c r="G74" s="74"/>
      <c r="H74" s="134"/>
      <c r="I74" s="76"/>
      <c r="J74" s="77"/>
      <c r="K74" s="76"/>
      <c r="L74" s="76"/>
    </row>
    <row r="75" spans="3:12" s="72" customFormat="1" ht="31.9" customHeight="1" x14ac:dyDescent="0.25">
      <c r="C75" s="75"/>
      <c r="G75" s="74"/>
      <c r="H75" s="134"/>
      <c r="I75" s="76"/>
      <c r="J75" s="77"/>
      <c r="K75" s="76"/>
      <c r="L75" s="76"/>
    </row>
    <row r="76" spans="3:12" s="72" customFormat="1" ht="31.9" customHeight="1" x14ac:dyDescent="0.25">
      <c r="C76" s="75"/>
      <c r="G76" s="74"/>
      <c r="H76" s="134"/>
      <c r="I76" s="76"/>
      <c r="J76" s="77"/>
      <c r="K76" s="76"/>
      <c r="L76" s="76"/>
    </row>
    <row r="77" spans="3:12" s="72" customFormat="1" ht="31.9" customHeight="1" x14ac:dyDescent="0.25">
      <c r="C77" s="75"/>
      <c r="G77" s="74"/>
      <c r="H77" s="134"/>
      <c r="I77" s="76"/>
      <c r="J77" s="77"/>
      <c r="K77" s="76"/>
      <c r="L77" s="76"/>
    </row>
    <row r="78" spans="3:12" s="72" customFormat="1" ht="31.9" customHeight="1" x14ac:dyDescent="0.25">
      <c r="C78" s="75"/>
      <c r="G78" s="74"/>
      <c r="H78" s="134"/>
      <c r="I78" s="76"/>
      <c r="J78" s="77"/>
      <c r="K78" s="76"/>
      <c r="L78" s="76"/>
    </row>
    <row r="79" spans="3:12" ht="31.9" customHeight="1" x14ac:dyDescent="0.25">
      <c r="I79" s="76"/>
      <c r="K79" s="76"/>
      <c r="L79" s="76"/>
    </row>
    <row r="80" spans="3:12" ht="31.9" customHeight="1" x14ac:dyDescent="0.25">
      <c r="I80" s="76"/>
      <c r="K80" s="76"/>
      <c r="L80" s="76"/>
    </row>
    <row r="81" spans="9:12" ht="31.9" customHeight="1" x14ac:dyDescent="0.25">
      <c r="I81" s="76"/>
      <c r="K81" s="76"/>
      <c r="L81" s="76"/>
    </row>
    <row r="82" spans="9:12" ht="31.9" customHeight="1" x14ac:dyDescent="0.25">
      <c r="I82" s="76"/>
      <c r="K82" s="76"/>
      <c r="L82" s="76"/>
    </row>
    <row r="83" spans="9:12" ht="31.9" customHeight="1" x14ac:dyDescent="0.25">
      <c r="I83" s="76"/>
      <c r="K83" s="76"/>
      <c r="L83" s="76"/>
    </row>
    <row r="84" spans="9:12" ht="31.9" customHeight="1" x14ac:dyDescent="0.25">
      <c r="I84" s="76"/>
      <c r="K84" s="76"/>
      <c r="L84" s="76"/>
    </row>
    <row r="85" spans="9:12" ht="31.9" customHeight="1" x14ac:dyDescent="0.25">
      <c r="I85" s="76"/>
      <c r="K85" s="76"/>
      <c r="L85" s="76"/>
    </row>
    <row r="86" spans="9:12" ht="31.9" customHeight="1" x14ac:dyDescent="0.25">
      <c r="I86" s="76"/>
      <c r="K86" s="76"/>
      <c r="L86" s="76"/>
    </row>
    <row r="87" spans="9:12" ht="31.9" customHeight="1" x14ac:dyDescent="0.25">
      <c r="I87" s="76"/>
      <c r="K87" s="76"/>
      <c r="L87" s="76"/>
    </row>
    <row r="88" spans="9:12" ht="31.9" customHeight="1" x14ac:dyDescent="0.25">
      <c r="I88" s="76"/>
      <c r="K88" s="76"/>
      <c r="L88" s="76"/>
    </row>
    <row r="89" spans="9:12" ht="31.9" customHeight="1" x14ac:dyDescent="0.25">
      <c r="I89" s="76"/>
      <c r="K89" s="76"/>
      <c r="L89" s="76"/>
    </row>
    <row r="90" spans="9:12" ht="31.9" customHeight="1" x14ac:dyDescent="0.25">
      <c r="I90" s="76"/>
      <c r="K90" s="76"/>
      <c r="L90" s="76"/>
    </row>
    <row r="91" spans="9:12" ht="31.9" customHeight="1" x14ac:dyDescent="0.25">
      <c r="I91" s="76"/>
      <c r="K91" s="76"/>
      <c r="L91" s="76"/>
    </row>
    <row r="92" spans="9:12" ht="31.9" customHeight="1" x14ac:dyDescent="0.25">
      <c r="I92" s="76"/>
      <c r="K92" s="76"/>
      <c r="L92" s="76"/>
    </row>
    <row r="93" spans="9:12" ht="31.9" customHeight="1" x14ac:dyDescent="0.25">
      <c r="I93" s="76"/>
      <c r="K93" s="76"/>
      <c r="L93" s="76"/>
    </row>
    <row r="94" spans="9:12" ht="31.9" customHeight="1" x14ac:dyDescent="0.25">
      <c r="I94" s="76"/>
      <c r="K94" s="76"/>
      <c r="L94" s="76"/>
    </row>
    <row r="95" spans="9:12" ht="31.9" customHeight="1" x14ac:dyDescent="0.25">
      <c r="I95" s="76"/>
      <c r="K95" s="76"/>
      <c r="L95" s="76"/>
    </row>
    <row r="96" spans="9:12" ht="31.9" customHeight="1" x14ac:dyDescent="0.25">
      <c r="I96" s="76"/>
      <c r="K96" s="76"/>
      <c r="L96" s="76"/>
    </row>
    <row r="97" spans="9:12" ht="31.9" customHeight="1" x14ac:dyDescent="0.25">
      <c r="I97" s="76"/>
      <c r="K97" s="76"/>
      <c r="L97" s="76"/>
    </row>
    <row r="98" spans="9:12" ht="31.9" customHeight="1" x14ac:dyDescent="0.25">
      <c r="I98" s="76"/>
      <c r="K98" s="76"/>
      <c r="L98" s="76"/>
    </row>
    <row r="99" spans="9:12" ht="31.9" customHeight="1" x14ac:dyDescent="0.25">
      <c r="I99" s="76"/>
      <c r="K99" s="76"/>
      <c r="L99" s="76"/>
    </row>
    <row r="100" spans="9:12" ht="31.9" customHeight="1" x14ac:dyDescent="0.25">
      <c r="I100" s="76"/>
      <c r="K100" s="76"/>
      <c r="L100" s="76"/>
    </row>
    <row r="101" spans="9:12" ht="31.9" customHeight="1" x14ac:dyDescent="0.25">
      <c r="I101" s="76"/>
      <c r="K101" s="76"/>
      <c r="L101" s="76"/>
    </row>
    <row r="102" spans="9:12" ht="31.9" customHeight="1" x14ac:dyDescent="0.25">
      <c r="I102" s="76"/>
      <c r="K102" s="76"/>
      <c r="L102" s="76"/>
    </row>
    <row r="103" spans="9:12" ht="31.9" customHeight="1" x14ac:dyDescent="0.25">
      <c r="I103" s="76"/>
      <c r="K103" s="76"/>
      <c r="L103" s="76"/>
    </row>
    <row r="104" spans="9:12" ht="31.9" customHeight="1" x14ac:dyDescent="0.25">
      <c r="I104" s="76"/>
      <c r="K104" s="76"/>
      <c r="L104" s="76"/>
    </row>
    <row r="105" spans="9:12" ht="31.9" customHeight="1" x14ac:dyDescent="0.25">
      <c r="I105" s="76"/>
      <c r="K105" s="76"/>
      <c r="L105" s="76"/>
    </row>
    <row r="106" spans="9:12" ht="31.9" customHeight="1" x14ac:dyDescent="0.25">
      <c r="I106" s="76"/>
      <c r="K106" s="76"/>
      <c r="L106" s="76"/>
    </row>
    <row r="107" spans="9:12" ht="31.9" customHeight="1" x14ac:dyDescent="0.25">
      <c r="I107" s="76"/>
      <c r="K107" s="76"/>
      <c r="L107" s="76"/>
    </row>
    <row r="108" spans="9:12" ht="31.9" customHeight="1" x14ac:dyDescent="0.25">
      <c r="I108" s="76"/>
      <c r="K108" s="76"/>
      <c r="L108" s="76"/>
    </row>
    <row r="109" spans="9:12" ht="31.9" customHeight="1" x14ac:dyDescent="0.25">
      <c r="I109" s="76"/>
      <c r="K109" s="76"/>
      <c r="L109" s="76"/>
    </row>
    <row r="110" spans="9:12" ht="31.9" customHeight="1" x14ac:dyDescent="0.25">
      <c r="I110" s="76"/>
      <c r="K110" s="76"/>
      <c r="L110" s="76"/>
    </row>
    <row r="111" spans="9:12" ht="31.9" customHeight="1" x14ac:dyDescent="0.25">
      <c r="I111" s="76"/>
      <c r="K111" s="76"/>
      <c r="L111" s="76"/>
    </row>
    <row r="112" spans="9:12" ht="31.9" customHeight="1" x14ac:dyDescent="0.25">
      <c r="I112" s="76"/>
      <c r="K112" s="76"/>
      <c r="L112" s="76"/>
    </row>
    <row r="113" spans="9:12" ht="31.9" customHeight="1" x14ac:dyDescent="0.25">
      <c r="I113" s="76"/>
      <c r="K113" s="76"/>
      <c r="L113" s="7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L10"/>
  <sheetViews>
    <sheetView workbookViewId="0">
      <selection activeCell="L2" sqref="L2"/>
    </sheetView>
  </sheetViews>
  <sheetFormatPr defaultRowHeight="16.5" x14ac:dyDescent="0.25"/>
  <sheetData>
    <row r="2" spans="6:12" x14ac:dyDescent="0.25">
      <c r="H2" t="s">
        <v>116</v>
      </c>
      <c r="J2">
        <f>SUM(J3:J8)</f>
        <v>33122</v>
      </c>
      <c r="K2">
        <f>SUM(K3:K8)</f>
        <v>55084</v>
      </c>
      <c r="L2">
        <f>SUM(L3:L15)</f>
        <v>70272</v>
      </c>
    </row>
    <row r="3" spans="6:12" x14ac:dyDescent="0.25">
      <c r="F3">
        <v>7072</v>
      </c>
      <c r="J3">
        <v>2720</v>
      </c>
      <c r="K3">
        <v>4720</v>
      </c>
      <c r="L3">
        <v>8280</v>
      </c>
    </row>
    <row r="4" spans="6:12" x14ac:dyDescent="0.25">
      <c r="F4">
        <v>15626</v>
      </c>
      <c r="J4">
        <v>6010</v>
      </c>
      <c r="K4">
        <v>3540</v>
      </c>
      <c r="L4">
        <v>5520</v>
      </c>
    </row>
    <row r="5" spans="6:12" x14ac:dyDescent="0.25">
      <c r="F5">
        <v>32400</v>
      </c>
      <c r="H5">
        <f>SUM(F3:F10)</f>
        <v>207978</v>
      </c>
      <c r="J5">
        <v>15600</v>
      </c>
      <c r="K5">
        <v>2360</v>
      </c>
      <c r="L5">
        <v>4320</v>
      </c>
    </row>
    <row r="6" spans="6:12" x14ac:dyDescent="0.25">
      <c r="F6">
        <v>23584</v>
      </c>
      <c r="J6">
        <v>4288</v>
      </c>
      <c r="K6">
        <v>44464</v>
      </c>
      <c r="L6">
        <v>13440</v>
      </c>
    </row>
    <row r="7" spans="6:12" x14ac:dyDescent="0.25">
      <c r="F7">
        <v>23584</v>
      </c>
      <c r="J7">
        <v>2252</v>
      </c>
      <c r="L7">
        <v>9600</v>
      </c>
    </row>
    <row r="8" spans="6:12" x14ac:dyDescent="0.25">
      <c r="F8">
        <v>69680</v>
      </c>
      <c r="J8">
        <v>2252</v>
      </c>
      <c r="L8">
        <v>8560</v>
      </c>
    </row>
    <row r="9" spans="6:12" x14ac:dyDescent="0.25">
      <c r="F9">
        <v>18016</v>
      </c>
      <c r="L9">
        <v>20552</v>
      </c>
    </row>
    <row r="10" spans="6:12" x14ac:dyDescent="0.25">
      <c r="F10">
        <v>18016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C1" zoomScale="90" zoomScaleNormal="90" workbookViewId="0">
      <pane ySplit="1" topLeftCell="A2" activePane="bottomLeft" state="frozen"/>
      <selection activeCell="C1" sqref="C1"/>
      <selection pane="bottomLeft" activeCell="C19" sqref="C19"/>
    </sheetView>
  </sheetViews>
  <sheetFormatPr defaultColWidth="9" defaultRowHeight="16.5" x14ac:dyDescent="0.25"/>
  <cols>
    <col min="1" max="1" width="12.625" style="9" customWidth="1"/>
    <col min="2" max="2" width="12.625" style="10" customWidth="1"/>
    <col min="3" max="3" width="15.5" style="9" customWidth="1"/>
    <col min="4" max="4" width="5.625" style="10" customWidth="1"/>
    <col min="5" max="5" width="8.625" style="10" customWidth="1"/>
    <col min="6" max="6" width="9.625" style="10" customWidth="1"/>
    <col min="7" max="7" width="28.625" style="15" customWidth="1"/>
    <col min="8" max="8" width="12.625" style="9" customWidth="1"/>
    <col min="9" max="9" width="12.625" style="1" customWidth="1"/>
    <col min="10" max="10" width="15.625" style="24" customWidth="1"/>
    <col min="11" max="12" width="12.625" style="1" customWidth="1"/>
    <col min="13" max="256" width="9" style="10"/>
    <col min="257" max="257" width="12.625" style="10" customWidth="1"/>
    <col min="258" max="259" width="6.625" style="10" customWidth="1"/>
    <col min="260" max="260" width="21.625" style="10" customWidth="1"/>
    <col min="261" max="261" width="28.625" style="10" customWidth="1"/>
    <col min="262" max="262" width="5.625" style="10" customWidth="1"/>
    <col min="263" max="263" width="8.625" style="10" customWidth="1"/>
    <col min="264" max="264" width="9.625" style="10" customWidth="1"/>
    <col min="265" max="265" width="8.625" style="10" customWidth="1"/>
    <col min="266" max="266" width="18.625" style="10" customWidth="1"/>
    <col min="267" max="267" width="8.625" style="10" customWidth="1"/>
    <col min="268" max="512" width="9" style="10"/>
    <col min="513" max="513" width="12.625" style="10" customWidth="1"/>
    <col min="514" max="515" width="6.625" style="10" customWidth="1"/>
    <col min="516" max="516" width="21.625" style="10" customWidth="1"/>
    <col min="517" max="517" width="28.625" style="10" customWidth="1"/>
    <col min="518" max="518" width="5.625" style="10" customWidth="1"/>
    <col min="519" max="519" width="8.625" style="10" customWidth="1"/>
    <col min="520" max="520" width="9.625" style="10" customWidth="1"/>
    <col min="521" max="521" width="8.625" style="10" customWidth="1"/>
    <col min="522" max="522" width="18.625" style="10" customWidth="1"/>
    <col min="523" max="523" width="8.625" style="10" customWidth="1"/>
    <col min="524" max="768" width="9" style="10"/>
    <col min="769" max="769" width="12.625" style="10" customWidth="1"/>
    <col min="770" max="771" width="6.625" style="10" customWidth="1"/>
    <col min="772" max="772" width="21.625" style="10" customWidth="1"/>
    <col min="773" max="773" width="28.625" style="10" customWidth="1"/>
    <col min="774" max="774" width="5.625" style="10" customWidth="1"/>
    <col min="775" max="775" width="8.625" style="10" customWidth="1"/>
    <col min="776" max="776" width="9.625" style="10" customWidth="1"/>
    <col min="777" max="777" width="8.625" style="10" customWidth="1"/>
    <col min="778" max="778" width="18.625" style="10" customWidth="1"/>
    <col min="779" max="779" width="8.625" style="10" customWidth="1"/>
    <col min="780" max="1024" width="9" style="10"/>
    <col min="1025" max="1025" width="12.625" style="10" customWidth="1"/>
    <col min="1026" max="1027" width="6.625" style="10" customWidth="1"/>
    <col min="1028" max="1028" width="21.625" style="10" customWidth="1"/>
    <col min="1029" max="1029" width="28.625" style="10" customWidth="1"/>
    <col min="1030" max="1030" width="5.625" style="10" customWidth="1"/>
    <col min="1031" max="1031" width="8.625" style="10" customWidth="1"/>
    <col min="1032" max="1032" width="9.625" style="10" customWidth="1"/>
    <col min="1033" max="1033" width="8.625" style="10" customWidth="1"/>
    <col min="1034" max="1034" width="18.625" style="10" customWidth="1"/>
    <col min="1035" max="1035" width="8.625" style="10" customWidth="1"/>
    <col min="1036" max="1280" width="9" style="10"/>
    <col min="1281" max="1281" width="12.625" style="10" customWidth="1"/>
    <col min="1282" max="1283" width="6.625" style="10" customWidth="1"/>
    <col min="1284" max="1284" width="21.625" style="10" customWidth="1"/>
    <col min="1285" max="1285" width="28.625" style="10" customWidth="1"/>
    <col min="1286" max="1286" width="5.625" style="10" customWidth="1"/>
    <col min="1287" max="1287" width="8.625" style="10" customWidth="1"/>
    <col min="1288" max="1288" width="9.625" style="10" customWidth="1"/>
    <col min="1289" max="1289" width="8.625" style="10" customWidth="1"/>
    <col min="1290" max="1290" width="18.625" style="10" customWidth="1"/>
    <col min="1291" max="1291" width="8.625" style="10" customWidth="1"/>
    <col min="1292" max="1536" width="9" style="10"/>
    <col min="1537" max="1537" width="12.625" style="10" customWidth="1"/>
    <col min="1538" max="1539" width="6.625" style="10" customWidth="1"/>
    <col min="1540" max="1540" width="21.625" style="10" customWidth="1"/>
    <col min="1541" max="1541" width="28.625" style="10" customWidth="1"/>
    <col min="1542" max="1542" width="5.625" style="10" customWidth="1"/>
    <col min="1543" max="1543" width="8.625" style="10" customWidth="1"/>
    <col min="1544" max="1544" width="9.625" style="10" customWidth="1"/>
    <col min="1545" max="1545" width="8.625" style="10" customWidth="1"/>
    <col min="1546" max="1546" width="18.625" style="10" customWidth="1"/>
    <col min="1547" max="1547" width="8.625" style="10" customWidth="1"/>
    <col min="1548" max="1792" width="9" style="10"/>
    <col min="1793" max="1793" width="12.625" style="10" customWidth="1"/>
    <col min="1794" max="1795" width="6.625" style="10" customWidth="1"/>
    <col min="1796" max="1796" width="21.625" style="10" customWidth="1"/>
    <col min="1797" max="1797" width="28.625" style="10" customWidth="1"/>
    <col min="1798" max="1798" width="5.625" style="10" customWidth="1"/>
    <col min="1799" max="1799" width="8.625" style="10" customWidth="1"/>
    <col min="1800" max="1800" width="9.625" style="10" customWidth="1"/>
    <col min="1801" max="1801" width="8.625" style="10" customWidth="1"/>
    <col min="1802" max="1802" width="18.625" style="10" customWidth="1"/>
    <col min="1803" max="1803" width="8.625" style="10" customWidth="1"/>
    <col min="1804" max="2048" width="9" style="10"/>
    <col min="2049" max="2049" width="12.625" style="10" customWidth="1"/>
    <col min="2050" max="2051" width="6.625" style="10" customWidth="1"/>
    <col min="2052" max="2052" width="21.625" style="10" customWidth="1"/>
    <col min="2053" max="2053" width="28.625" style="10" customWidth="1"/>
    <col min="2054" max="2054" width="5.625" style="10" customWidth="1"/>
    <col min="2055" max="2055" width="8.625" style="10" customWidth="1"/>
    <col min="2056" max="2056" width="9.625" style="10" customWidth="1"/>
    <col min="2057" max="2057" width="8.625" style="10" customWidth="1"/>
    <col min="2058" max="2058" width="18.625" style="10" customWidth="1"/>
    <col min="2059" max="2059" width="8.625" style="10" customWidth="1"/>
    <col min="2060" max="2304" width="9" style="10"/>
    <col min="2305" max="2305" width="12.625" style="10" customWidth="1"/>
    <col min="2306" max="2307" width="6.625" style="10" customWidth="1"/>
    <col min="2308" max="2308" width="21.625" style="10" customWidth="1"/>
    <col min="2309" max="2309" width="28.625" style="10" customWidth="1"/>
    <col min="2310" max="2310" width="5.625" style="10" customWidth="1"/>
    <col min="2311" max="2311" width="8.625" style="10" customWidth="1"/>
    <col min="2312" max="2312" width="9.625" style="10" customWidth="1"/>
    <col min="2313" max="2313" width="8.625" style="10" customWidth="1"/>
    <col min="2314" max="2314" width="18.625" style="10" customWidth="1"/>
    <col min="2315" max="2315" width="8.625" style="10" customWidth="1"/>
    <col min="2316" max="2560" width="9" style="10"/>
    <col min="2561" max="2561" width="12.625" style="10" customWidth="1"/>
    <col min="2562" max="2563" width="6.625" style="10" customWidth="1"/>
    <col min="2564" max="2564" width="21.625" style="10" customWidth="1"/>
    <col min="2565" max="2565" width="28.625" style="10" customWidth="1"/>
    <col min="2566" max="2566" width="5.625" style="10" customWidth="1"/>
    <col min="2567" max="2567" width="8.625" style="10" customWidth="1"/>
    <col min="2568" max="2568" width="9.625" style="10" customWidth="1"/>
    <col min="2569" max="2569" width="8.625" style="10" customWidth="1"/>
    <col min="2570" max="2570" width="18.625" style="10" customWidth="1"/>
    <col min="2571" max="2571" width="8.625" style="10" customWidth="1"/>
    <col min="2572" max="2816" width="9" style="10"/>
    <col min="2817" max="2817" width="12.625" style="10" customWidth="1"/>
    <col min="2818" max="2819" width="6.625" style="10" customWidth="1"/>
    <col min="2820" max="2820" width="21.625" style="10" customWidth="1"/>
    <col min="2821" max="2821" width="28.625" style="10" customWidth="1"/>
    <col min="2822" max="2822" width="5.625" style="10" customWidth="1"/>
    <col min="2823" max="2823" width="8.625" style="10" customWidth="1"/>
    <col min="2824" max="2824" width="9.625" style="10" customWidth="1"/>
    <col min="2825" max="2825" width="8.625" style="10" customWidth="1"/>
    <col min="2826" max="2826" width="18.625" style="10" customWidth="1"/>
    <col min="2827" max="2827" width="8.625" style="10" customWidth="1"/>
    <col min="2828" max="3072" width="9" style="10"/>
    <col min="3073" max="3073" width="12.625" style="10" customWidth="1"/>
    <col min="3074" max="3075" width="6.625" style="10" customWidth="1"/>
    <col min="3076" max="3076" width="21.625" style="10" customWidth="1"/>
    <col min="3077" max="3077" width="28.625" style="10" customWidth="1"/>
    <col min="3078" max="3078" width="5.625" style="10" customWidth="1"/>
    <col min="3079" max="3079" width="8.625" style="10" customWidth="1"/>
    <col min="3080" max="3080" width="9.625" style="10" customWidth="1"/>
    <col min="3081" max="3081" width="8.625" style="10" customWidth="1"/>
    <col min="3082" max="3082" width="18.625" style="10" customWidth="1"/>
    <col min="3083" max="3083" width="8.625" style="10" customWidth="1"/>
    <col min="3084" max="3328" width="9" style="10"/>
    <col min="3329" max="3329" width="12.625" style="10" customWidth="1"/>
    <col min="3330" max="3331" width="6.625" style="10" customWidth="1"/>
    <col min="3332" max="3332" width="21.625" style="10" customWidth="1"/>
    <col min="3333" max="3333" width="28.625" style="10" customWidth="1"/>
    <col min="3334" max="3334" width="5.625" style="10" customWidth="1"/>
    <col min="3335" max="3335" width="8.625" style="10" customWidth="1"/>
    <col min="3336" max="3336" width="9.625" style="10" customWidth="1"/>
    <col min="3337" max="3337" width="8.625" style="10" customWidth="1"/>
    <col min="3338" max="3338" width="18.625" style="10" customWidth="1"/>
    <col min="3339" max="3339" width="8.625" style="10" customWidth="1"/>
    <col min="3340" max="3584" width="9" style="10"/>
    <col min="3585" max="3585" width="12.625" style="10" customWidth="1"/>
    <col min="3586" max="3587" width="6.625" style="10" customWidth="1"/>
    <col min="3588" max="3588" width="21.625" style="10" customWidth="1"/>
    <col min="3589" max="3589" width="28.625" style="10" customWidth="1"/>
    <col min="3590" max="3590" width="5.625" style="10" customWidth="1"/>
    <col min="3591" max="3591" width="8.625" style="10" customWidth="1"/>
    <col min="3592" max="3592" width="9.625" style="10" customWidth="1"/>
    <col min="3593" max="3593" width="8.625" style="10" customWidth="1"/>
    <col min="3594" max="3594" width="18.625" style="10" customWidth="1"/>
    <col min="3595" max="3595" width="8.625" style="10" customWidth="1"/>
    <col min="3596" max="3840" width="9" style="10"/>
    <col min="3841" max="3841" width="12.625" style="10" customWidth="1"/>
    <col min="3842" max="3843" width="6.625" style="10" customWidth="1"/>
    <col min="3844" max="3844" width="21.625" style="10" customWidth="1"/>
    <col min="3845" max="3845" width="28.625" style="10" customWidth="1"/>
    <col min="3846" max="3846" width="5.625" style="10" customWidth="1"/>
    <col min="3847" max="3847" width="8.625" style="10" customWidth="1"/>
    <col min="3848" max="3848" width="9.625" style="10" customWidth="1"/>
    <col min="3849" max="3849" width="8.625" style="10" customWidth="1"/>
    <col min="3850" max="3850" width="18.625" style="10" customWidth="1"/>
    <col min="3851" max="3851" width="8.625" style="10" customWidth="1"/>
    <col min="3852" max="4096" width="9" style="10"/>
    <col min="4097" max="4097" width="12.625" style="10" customWidth="1"/>
    <col min="4098" max="4099" width="6.625" style="10" customWidth="1"/>
    <col min="4100" max="4100" width="21.625" style="10" customWidth="1"/>
    <col min="4101" max="4101" width="28.625" style="10" customWidth="1"/>
    <col min="4102" max="4102" width="5.625" style="10" customWidth="1"/>
    <col min="4103" max="4103" width="8.625" style="10" customWidth="1"/>
    <col min="4104" max="4104" width="9.625" style="10" customWidth="1"/>
    <col min="4105" max="4105" width="8.625" style="10" customWidth="1"/>
    <col min="4106" max="4106" width="18.625" style="10" customWidth="1"/>
    <col min="4107" max="4107" width="8.625" style="10" customWidth="1"/>
    <col min="4108" max="4352" width="9" style="10"/>
    <col min="4353" max="4353" width="12.625" style="10" customWidth="1"/>
    <col min="4354" max="4355" width="6.625" style="10" customWidth="1"/>
    <col min="4356" max="4356" width="21.625" style="10" customWidth="1"/>
    <col min="4357" max="4357" width="28.625" style="10" customWidth="1"/>
    <col min="4358" max="4358" width="5.625" style="10" customWidth="1"/>
    <col min="4359" max="4359" width="8.625" style="10" customWidth="1"/>
    <col min="4360" max="4360" width="9.625" style="10" customWidth="1"/>
    <col min="4361" max="4361" width="8.625" style="10" customWidth="1"/>
    <col min="4362" max="4362" width="18.625" style="10" customWidth="1"/>
    <col min="4363" max="4363" width="8.625" style="10" customWidth="1"/>
    <col min="4364" max="4608" width="9" style="10"/>
    <col min="4609" max="4609" width="12.625" style="10" customWidth="1"/>
    <col min="4610" max="4611" width="6.625" style="10" customWidth="1"/>
    <col min="4612" max="4612" width="21.625" style="10" customWidth="1"/>
    <col min="4613" max="4613" width="28.625" style="10" customWidth="1"/>
    <col min="4614" max="4614" width="5.625" style="10" customWidth="1"/>
    <col min="4615" max="4615" width="8.625" style="10" customWidth="1"/>
    <col min="4616" max="4616" width="9.625" style="10" customWidth="1"/>
    <col min="4617" max="4617" width="8.625" style="10" customWidth="1"/>
    <col min="4618" max="4618" width="18.625" style="10" customWidth="1"/>
    <col min="4619" max="4619" width="8.625" style="10" customWidth="1"/>
    <col min="4620" max="4864" width="9" style="10"/>
    <col min="4865" max="4865" width="12.625" style="10" customWidth="1"/>
    <col min="4866" max="4867" width="6.625" style="10" customWidth="1"/>
    <col min="4868" max="4868" width="21.625" style="10" customWidth="1"/>
    <col min="4869" max="4869" width="28.625" style="10" customWidth="1"/>
    <col min="4870" max="4870" width="5.625" style="10" customWidth="1"/>
    <col min="4871" max="4871" width="8.625" style="10" customWidth="1"/>
    <col min="4872" max="4872" width="9.625" style="10" customWidth="1"/>
    <col min="4873" max="4873" width="8.625" style="10" customWidth="1"/>
    <col min="4874" max="4874" width="18.625" style="10" customWidth="1"/>
    <col min="4875" max="4875" width="8.625" style="10" customWidth="1"/>
    <col min="4876" max="5120" width="9" style="10"/>
    <col min="5121" max="5121" width="12.625" style="10" customWidth="1"/>
    <col min="5122" max="5123" width="6.625" style="10" customWidth="1"/>
    <col min="5124" max="5124" width="21.625" style="10" customWidth="1"/>
    <col min="5125" max="5125" width="28.625" style="10" customWidth="1"/>
    <col min="5126" max="5126" width="5.625" style="10" customWidth="1"/>
    <col min="5127" max="5127" width="8.625" style="10" customWidth="1"/>
    <col min="5128" max="5128" width="9.625" style="10" customWidth="1"/>
    <col min="5129" max="5129" width="8.625" style="10" customWidth="1"/>
    <col min="5130" max="5130" width="18.625" style="10" customWidth="1"/>
    <col min="5131" max="5131" width="8.625" style="10" customWidth="1"/>
    <col min="5132" max="5376" width="9" style="10"/>
    <col min="5377" max="5377" width="12.625" style="10" customWidth="1"/>
    <col min="5378" max="5379" width="6.625" style="10" customWidth="1"/>
    <col min="5380" max="5380" width="21.625" style="10" customWidth="1"/>
    <col min="5381" max="5381" width="28.625" style="10" customWidth="1"/>
    <col min="5382" max="5382" width="5.625" style="10" customWidth="1"/>
    <col min="5383" max="5383" width="8.625" style="10" customWidth="1"/>
    <col min="5384" max="5384" width="9.625" style="10" customWidth="1"/>
    <col min="5385" max="5385" width="8.625" style="10" customWidth="1"/>
    <col min="5386" max="5386" width="18.625" style="10" customWidth="1"/>
    <col min="5387" max="5387" width="8.625" style="10" customWidth="1"/>
    <col min="5388" max="5632" width="9" style="10"/>
    <col min="5633" max="5633" width="12.625" style="10" customWidth="1"/>
    <col min="5634" max="5635" width="6.625" style="10" customWidth="1"/>
    <col min="5636" max="5636" width="21.625" style="10" customWidth="1"/>
    <col min="5637" max="5637" width="28.625" style="10" customWidth="1"/>
    <col min="5638" max="5638" width="5.625" style="10" customWidth="1"/>
    <col min="5639" max="5639" width="8.625" style="10" customWidth="1"/>
    <col min="5640" max="5640" width="9.625" style="10" customWidth="1"/>
    <col min="5641" max="5641" width="8.625" style="10" customWidth="1"/>
    <col min="5642" max="5642" width="18.625" style="10" customWidth="1"/>
    <col min="5643" max="5643" width="8.625" style="10" customWidth="1"/>
    <col min="5644" max="5888" width="9" style="10"/>
    <col min="5889" max="5889" width="12.625" style="10" customWidth="1"/>
    <col min="5890" max="5891" width="6.625" style="10" customWidth="1"/>
    <col min="5892" max="5892" width="21.625" style="10" customWidth="1"/>
    <col min="5893" max="5893" width="28.625" style="10" customWidth="1"/>
    <col min="5894" max="5894" width="5.625" style="10" customWidth="1"/>
    <col min="5895" max="5895" width="8.625" style="10" customWidth="1"/>
    <col min="5896" max="5896" width="9.625" style="10" customWidth="1"/>
    <col min="5897" max="5897" width="8.625" style="10" customWidth="1"/>
    <col min="5898" max="5898" width="18.625" style="10" customWidth="1"/>
    <col min="5899" max="5899" width="8.625" style="10" customWidth="1"/>
    <col min="5900" max="6144" width="9" style="10"/>
    <col min="6145" max="6145" width="12.625" style="10" customWidth="1"/>
    <col min="6146" max="6147" width="6.625" style="10" customWidth="1"/>
    <col min="6148" max="6148" width="21.625" style="10" customWidth="1"/>
    <col min="6149" max="6149" width="28.625" style="10" customWidth="1"/>
    <col min="6150" max="6150" width="5.625" style="10" customWidth="1"/>
    <col min="6151" max="6151" width="8.625" style="10" customWidth="1"/>
    <col min="6152" max="6152" width="9.625" style="10" customWidth="1"/>
    <col min="6153" max="6153" width="8.625" style="10" customWidth="1"/>
    <col min="6154" max="6154" width="18.625" style="10" customWidth="1"/>
    <col min="6155" max="6155" width="8.625" style="10" customWidth="1"/>
    <col min="6156" max="6400" width="9" style="10"/>
    <col min="6401" max="6401" width="12.625" style="10" customWidth="1"/>
    <col min="6402" max="6403" width="6.625" style="10" customWidth="1"/>
    <col min="6404" max="6404" width="21.625" style="10" customWidth="1"/>
    <col min="6405" max="6405" width="28.625" style="10" customWidth="1"/>
    <col min="6406" max="6406" width="5.625" style="10" customWidth="1"/>
    <col min="6407" max="6407" width="8.625" style="10" customWidth="1"/>
    <col min="6408" max="6408" width="9.625" style="10" customWidth="1"/>
    <col min="6409" max="6409" width="8.625" style="10" customWidth="1"/>
    <col min="6410" max="6410" width="18.625" style="10" customWidth="1"/>
    <col min="6411" max="6411" width="8.625" style="10" customWidth="1"/>
    <col min="6412" max="6656" width="9" style="10"/>
    <col min="6657" max="6657" width="12.625" style="10" customWidth="1"/>
    <col min="6658" max="6659" width="6.625" style="10" customWidth="1"/>
    <col min="6660" max="6660" width="21.625" style="10" customWidth="1"/>
    <col min="6661" max="6661" width="28.625" style="10" customWidth="1"/>
    <col min="6662" max="6662" width="5.625" style="10" customWidth="1"/>
    <col min="6663" max="6663" width="8.625" style="10" customWidth="1"/>
    <col min="6664" max="6664" width="9.625" style="10" customWidth="1"/>
    <col min="6665" max="6665" width="8.625" style="10" customWidth="1"/>
    <col min="6666" max="6666" width="18.625" style="10" customWidth="1"/>
    <col min="6667" max="6667" width="8.625" style="10" customWidth="1"/>
    <col min="6668" max="6912" width="9" style="10"/>
    <col min="6913" max="6913" width="12.625" style="10" customWidth="1"/>
    <col min="6914" max="6915" width="6.625" style="10" customWidth="1"/>
    <col min="6916" max="6916" width="21.625" style="10" customWidth="1"/>
    <col min="6917" max="6917" width="28.625" style="10" customWidth="1"/>
    <col min="6918" max="6918" width="5.625" style="10" customWidth="1"/>
    <col min="6919" max="6919" width="8.625" style="10" customWidth="1"/>
    <col min="6920" max="6920" width="9.625" style="10" customWidth="1"/>
    <col min="6921" max="6921" width="8.625" style="10" customWidth="1"/>
    <col min="6922" max="6922" width="18.625" style="10" customWidth="1"/>
    <col min="6923" max="6923" width="8.625" style="10" customWidth="1"/>
    <col min="6924" max="7168" width="9" style="10"/>
    <col min="7169" max="7169" width="12.625" style="10" customWidth="1"/>
    <col min="7170" max="7171" width="6.625" style="10" customWidth="1"/>
    <col min="7172" max="7172" width="21.625" style="10" customWidth="1"/>
    <col min="7173" max="7173" width="28.625" style="10" customWidth="1"/>
    <col min="7174" max="7174" width="5.625" style="10" customWidth="1"/>
    <col min="7175" max="7175" width="8.625" style="10" customWidth="1"/>
    <col min="7176" max="7176" width="9.625" style="10" customWidth="1"/>
    <col min="7177" max="7177" width="8.625" style="10" customWidth="1"/>
    <col min="7178" max="7178" width="18.625" style="10" customWidth="1"/>
    <col min="7179" max="7179" width="8.625" style="10" customWidth="1"/>
    <col min="7180" max="7424" width="9" style="10"/>
    <col min="7425" max="7425" width="12.625" style="10" customWidth="1"/>
    <col min="7426" max="7427" width="6.625" style="10" customWidth="1"/>
    <col min="7428" max="7428" width="21.625" style="10" customWidth="1"/>
    <col min="7429" max="7429" width="28.625" style="10" customWidth="1"/>
    <col min="7430" max="7430" width="5.625" style="10" customWidth="1"/>
    <col min="7431" max="7431" width="8.625" style="10" customWidth="1"/>
    <col min="7432" max="7432" width="9.625" style="10" customWidth="1"/>
    <col min="7433" max="7433" width="8.625" style="10" customWidth="1"/>
    <col min="7434" max="7434" width="18.625" style="10" customWidth="1"/>
    <col min="7435" max="7435" width="8.625" style="10" customWidth="1"/>
    <col min="7436" max="7680" width="9" style="10"/>
    <col min="7681" max="7681" width="12.625" style="10" customWidth="1"/>
    <col min="7682" max="7683" width="6.625" style="10" customWidth="1"/>
    <col min="7684" max="7684" width="21.625" style="10" customWidth="1"/>
    <col min="7685" max="7685" width="28.625" style="10" customWidth="1"/>
    <col min="7686" max="7686" width="5.625" style="10" customWidth="1"/>
    <col min="7687" max="7687" width="8.625" style="10" customWidth="1"/>
    <col min="7688" max="7688" width="9.625" style="10" customWidth="1"/>
    <col min="7689" max="7689" width="8.625" style="10" customWidth="1"/>
    <col min="7690" max="7690" width="18.625" style="10" customWidth="1"/>
    <col min="7691" max="7691" width="8.625" style="10" customWidth="1"/>
    <col min="7692" max="7936" width="9" style="10"/>
    <col min="7937" max="7937" width="12.625" style="10" customWidth="1"/>
    <col min="7938" max="7939" width="6.625" style="10" customWidth="1"/>
    <col min="7940" max="7940" width="21.625" style="10" customWidth="1"/>
    <col min="7941" max="7941" width="28.625" style="10" customWidth="1"/>
    <col min="7942" max="7942" width="5.625" style="10" customWidth="1"/>
    <col min="7943" max="7943" width="8.625" style="10" customWidth="1"/>
    <col min="7944" max="7944" width="9.625" style="10" customWidth="1"/>
    <col min="7945" max="7945" width="8.625" style="10" customWidth="1"/>
    <col min="7946" max="7946" width="18.625" style="10" customWidth="1"/>
    <col min="7947" max="7947" width="8.625" style="10" customWidth="1"/>
    <col min="7948" max="8192" width="9" style="10"/>
    <col min="8193" max="8193" width="12.625" style="10" customWidth="1"/>
    <col min="8194" max="8195" width="6.625" style="10" customWidth="1"/>
    <col min="8196" max="8196" width="21.625" style="10" customWidth="1"/>
    <col min="8197" max="8197" width="28.625" style="10" customWidth="1"/>
    <col min="8198" max="8198" width="5.625" style="10" customWidth="1"/>
    <col min="8199" max="8199" width="8.625" style="10" customWidth="1"/>
    <col min="8200" max="8200" width="9.625" style="10" customWidth="1"/>
    <col min="8201" max="8201" width="8.625" style="10" customWidth="1"/>
    <col min="8202" max="8202" width="18.625" style="10" customWidth="1"/>
    <col min="8203" max="8203" width="8.625" style="10" customWidth="1"/>
    <col min="8204" max="8448" width="9" style="10"/>
    <col min="8449" max="8449" width="12.625" style="10" customWidth="1"/>
    <col min="8450" max="8451" width="6.625" style="10" customWidth="1"/>
    <col min="8452" max="8452" width="21.625" style="10" customWidth="1"/>
    <col min="8453" max="8453" width="28.625" style="10" customWidth="1"/>
    <col min="8454" max="8454" width="5.625" style="10" customWidth="1"/>
    <col min="8455" max="8455" width="8.625" style="10" customWidth="1"/>
    <col min="8456" max="8456" width="9.625" style="10" customWidth="1"/>
    <col min="8457" max="8457" width="8.625" style="10" customWidth="1"/>
    <col min="8458" max="8458" width="18.625" style="10" customWidth="1"/>
    <col min="8459" max="8459" width="8.625" style="10" customWidth="1"/>
    <col min="8460" max="8704" width="9" style="10"/>
    <col min="8705" max="8705" width="12.625" style="10" customWidth="1"/>
    <col min="8706" max="8707" width="6.625" style="10" customWidth="1"/>
    <col min="8708" max="8708" width="21.625" style="10" customWidth="1"/>
    <col min="8709" max="8709" width="28.625" style="10" customWidth="1"/>
    <col min="8710" max="8710" width="5.625" style="10" customWidth="1"/>
    <col min="8711" max="8711" width="8.625" style="10" customWidth="1"/>
    <col min="8712" max="8712" width="9.625" style="10" customWidth="1"/>
    <col min="8713" max="8713" width="8.625" style="10" customWidth="1"/>
    <col min="8714" max="8714" width="18.625" style="10" customWidth="1"/>
    <col min="8715" max="8715" width="8.625" style="10" customWidth="1"/>
    <col min="8716" max="8960" width="9" style="10"/>
    <col min="8961" max="8961" width="12.625" style="10" customWidth="1"/>
    <col min="8962" max="8963" width="6.625" style="10" customWidth="1"/>
    <col min="8964" max="8964" width="21.625" style="10" customWidth="1"/>
    <col min="8965" max="8965" width="28.625" style="10" customWidth="1"/>
    <col min="8966" max="8966" width="5.625" style="10" customWidth="1"/>
    <col min="8967" max="8967" width="8.625" style="10" customWidth="1"/>
    <col min="8968" max="8968" width="9.625" style="10" customWidth="1"/>
    <col min="8969" max="8969" width="8.625" style="10" customWidth="1"/>
    <col min="8970" max="8970" width="18.625" style="10" customWidth="1"/>
    <col min="8971" max="8971" width="8.625" style="10" customWidth="1"/>
    <col min="8972" max="9216" width="9" style="10"/>
    <col min="9217" max="9217" width="12.625" style="10" customWidth="1"/>
    <col min="9218" max="9219" width="6.625" style="10" customWidth="1"/>
    <col min="9220" max="9220" width="21.625" style="10" customWidth="1"/>
    <col min="9221" max="9221" width="28.625" style="10" customWidth="1"/>
    <col min="9222" max="9222" width="5.625" style="10" customWidth="1"/>
    <col min="9223" max="9223" width="8.625" style="10" customWidth="1"/>
    <col min="9224" max="9224" width="9.625" style="10" customWidth="1"/>
    <col min="9225" max="9225" width="8.625" style="10" customWidth="1"/>
    <col min="9226" max="9226" width="18.625" style="10" customWidth="1"/>
    <col min="9227" max="9227" width="8.625" style="10" customWidth="1"/>
    <col min="9228" max="9472" width="9" style="10"/>
    <col min="9473" max="9473" width="12.625" style="10" customWidth="1"/>
    <col min="9474" max="9475" width="6.625" style="10" customWidth="1"/>
    <col min="9476" max="9476" width="21.625" style="10" customWidth="1"/>
    <col min="9477" max="9477" width="28.625" style="10" customWidth="1"/>
    <col min="9478" max="9478" width="5.625" style="10" customWidth="1"/>
    <col min="9479" max="9479" width="8.625" style="10" customWidth="1"/>
    <col min="9480" max="9480" width="9.625" style="10" customWidth="1"/>
    <col min="9481" max="9481" width="8.625" style="10" customWidth="1"/>
    <col min="9482" max="9482" width="18.625" style="10" customWidth="1"/>
    <col min="9483" max="9483" width="8.625" style="10" customWidth="1"/>
    <col min="9484" max="9728" width="9" style="10"/>
    <col min="9729" max="9729" width="12.625" style="10" customWidth="1"/>
    <col min="9730" max="9731" width="6.625" style="10" customWidth="1"/>
    <col min="9732" max="9732" width="21.625" style="10" customWidth="1"/>
    <col min="9733" max="9733" width="28.625" style="10" customWidth="1"/>
    <col min="9734" max="9734" width="5.625" style="10" customWidth="1"/>
    <col min="9735" max="9735" width="8.625" style="10" customWidth="1"/>
    <col min="9736" max="9736" width="9.625" style="10" customWidth="1"/>
    <col min="9737" max="9737" width="8.625" style="10" customWidth="1"/>
    <col min="9738" max="9738" width="18.625" style="10" customWidth="1"/>
    <col min="9739" max="9739" width="8.625" style="10" customWidth="1"/>
    <col min="9740" max="9984" width="9" style="10"/>
    <col min="9985" max="9985" width="12.625" style="10" customWidth="1"/>
    <col min="9986" max="9987" width="6.625" style="10" customWidth="1"/>
    <col min="9988" max="9988" width="21.625" style="10" customWidth="1"/>
    <col min="9989" max="9989" width="28.625" style="10" customWidth="1"/>
    <col min="9990" max="9990" width="5.625" style="10" customWidth="1"/>
    <col min="9991" max="9991" width="8.625" style="10" customWidth="1"/>
    <col min="9992" max="9992" width="9.625" style="10" customWidth="1"/>
    <col min="9993" max="9993" width="8.625" style="10" customWidth="1"/>
    <col min="9994" max="9994" width="18.625" style="10" customWidth="1"/>
    <col min="9995" max="9995" width="8.625" style="10" customWidth="1"/>
    <col min="9996" max="10240" width="9" style="10"/>
    <col min="10241" max="10241" width="12.625" style="10" customWidth="1"/>
    <col min="10242" max="10243" width="6.625" style="10" customWidth="1"/>
    <col min="10244" max="10244" width="21.625" style="10" customWidth="1"/>
    <col min="10245" max="10245" width="28.625" style="10" customWidth="1"/>
    <col min="10246" max="10246" width="5.625" style="10" customWidth="1"/>
    <col min="10247" max="10247" width="8.625" style="10" customWidth="1"/>
    <col min="10248" max="10248" width="9.625" style="10" customWidth="1"/>
    <col min="10249" max="10249" width="8.625" style="10" customWidth="1"/>
    <col min="10250" max="10250" width="18.625" style="10" customWidth="1"/>
    <col min="10251" max="10251" width="8.625" style="10" customWidth="1"/>
    <col min="10252" max="10496" width="9" style="10"/>
    <col min="10497" max="10497" width="12.625" style="10" customWidth="1"/>
    <col min="10498" max="10499" width="6.625" style="10" customWidth="1"/>
    <col min="10500" max="10500" width="21.625" style="10" customWidth="1"/>
    <col min="10501" max="10501" width="28.625" style="10" customWidth="1"/>
    <col min="10502" max="10502" width="5.625" style="10" customWidth="1"/>
    <col min="10503" max="10503" width="8.625" style="10" customWidth="1"/>
    <col min="10504" max="10504" width="9.625" style="10" customWidth="1"/>
    <col min="10505" max="10505" width="8.625" style="10" customWidth="1"/>
    <col min="10506" max="10506" width="18.625" style="10" customWidth="1"/>
    <col min="10507" max="10507" width="8.625" style="10" customWidth="1"/>
    <col min="10508" max="10752" width="9" style="10"/>
    <col min="10753" max="10753" width="12.625" style="10" customWidth="1"/>
    <col min="10754" max="10755" width="6.625" style="10" customWidth="1"/>
    <col min="10756" max="10756" width="21.625" style="10" customWidth="1"/>
    <col min="10757" max="10757" width="28.625" style="10" customWidth="1"/>
    <col min="10758" max="10758" width="5.625" style="10" customWidth="1"/>
    <col min="10759" max="10759" width="8.625" style="10" customWidth="1"/>
    <col min="10760" max="10760" width="9.625" style="10" customWidth="1"/>
    <col min="10761" max="10761" width="8.625" style="10" customWidth="1"/>
    <col min="10762" max="10762" width="18.625" style="10" customWidth="1"/>
    <col min="10763" max="10763" width="8.625" style="10" customWidth="1"/>
    <col min="10764" max="11008" width="9" style="10"/>
    <col min="11009" max="11009" width="12.625" style="10" customWidth="1"/>
    <col min="11010" max="11011" width="6.625" style="10" customWidth="1"/>
    <col min="11012" max="11012" width="21.625" style="10" customWidth="1"/>
    <col min="11013" max="11013" width="28.625" style="10" customWidth="1"/>
    <col min="11014" max="11014" width="5.625" style="10" customWidth="1"/>
    <col min="11015" max="11015" width="8.625" style="10" customWidth="1"/>
    <col min="11016" max="11016" width="9.625" style="10" customWidth="1"/>
    <col min="11017" max="11017" width="8.625" style="10" customWidth="1"/>
    <col min="11018" max="11018" width="18.625" style="10" customWidth="1"/>
    <col min="11019" max="11019" width="8.625" style="10" customWidth="1"/>
    <col min="11020" max="11264" width="9" style="10"/>
    <col min="11265" max="11265" width="12.625" style="10" customWidth="1"/>
    <col min="11266" max="11267" width="6.625" style="10" customWidth="1"/>
    <col min="11268" max="11268" width="21.625" style="10" customWidth="1"/>
    <col min="11269" max="11269" width="28.625" style="10" customWidth="1"/>
    <col min="11270" max="11270" width="5.625" style="10" customWidth="1"/>
    <col min="11271" max="11271" width="8.625" style="10" customWidth="1"/>
    <col min="11272" max="11272" width="9.625" style="10" customWidth="1"/>
    <col min="11273" max="11273" width="8.625" style="10" customWidth="1"/>
    <col min="11274" max="11274" width="18.625" style="10" customWidth="1"/>
    <col min="11275" max="11275" width="8.625" style="10" customWidth="1"/>
    <col min="11276" max="11520" width="9" style="10"/>
    <col min="11521" max="11521" width="12.625" style="10" customWidth="1"/>
    <col min="11522" max="11523" width="6.625" style="10" customWidth="1"/>
    <col min="11524" max="11524" width="21.625" style="10" customWidth="1"/>
    <col min="11525" max="11525" width="28.625" style="10" customWidth="1"/>
    <col min="11526" max="11526" width="5.625" style="10" customWidth="1"/>
    <col min="11527" max="11527" width="8.625" style="10" customWidth="1"/>
    <col min="11528" max="11528" width="9.625" style="10" customWidth="1"/>
    <col min="11529" max="11529" width="8.625" style="10" customWidth="1"/>
    <col min="11530" max="11530" width="18.625" style="10" customWidth="1"/>
    <col min="11531" max="11531" width="8.625" style="10" customWidth="1"/>
    <col min="11532" max="11776" width="9" style="10"/>
    <col min="11777" max="11777" width="12.625" style="10" customWidth="1"/>
    <col min="11778" max="11779" width="6.625" style="10" customWidth="1"/>
    <col min="11780" max="11780" width="21.625" style="10" customWidth="1"/>
    <col min="11781" max="11781" width="28.625" style="10" customWidth="1"/>
    <col min="11782" max="11782" width="5.625" style="10" customWidth="1"/>
    <col min="11783" max="11783" width="8.625" style="10" customWidth="1"/>
    <col min="11784" max="11784" width="9.625" style="10" customWidth="1"/>
    <col min="11785" max="11785" width="8.625" style="10" customWidth="1"/>
    <col min="11786" max="11786" width="18.625" style="10" customWidth="1"/>
    <col min="11787" max="11787" width="8.625" style="10" customWidth="1"/>
    <col min="11788" max="12032" width="9" style="10"/>
    <col min="12033" max="12033" width="12.625" style="10" customWidth="1"/>
    <col min="12034" max="12035" width="6.625" style="10" customWidth="1"/>
    <col min="12036" max="12036" width="21.625" style="10" customWidth="1"/>
    <col min="12037" max="12037" width="28.625" style="10" customWidth="1"/>
    <col min="12038" max="12038" width="5.625" style="10" customWidth="1"/>
    <col min="12039" max="12039" width="8.625" style="10" customWidth="1"/>
    <col min="12040" max="12040" width="9.625" style="10" customWidth="1"/>
    <col min="12041" max="12041" width="8.625" style="10" customWidth="1"/>
    <col min="12042" max="12042" width="18.625" style="10" customWidth="1"/>
    <col min="12043" max="12043" width="8.625" style="10" customWidth="1"/>
    <col min="12044" max="12288" width="9" style="10"/>
    <col min="12289" max="12289" width="12.625" style="10" customWidth="1"/>
    <col min="12290" max="12291" width="6.625" style="10" customWidth="1"/>
    <col min="12292" max="12292" width="21.625" style="10" customWidth="1"/>
    <col min="12293" max="12293" width="28.625" style="10" customWidth="1"/>
    <col min="12294" max="12294" width="5.625" style="10" customWidth="1"/>
    <col min="12295" max="12295" width="8.625" style="10" customWidth="1"/>
    <col min="12296" max="12296" width="9.625" style="10" customWidth="1"/>
    <col min="12297" max="12297" width="8.625" style="10" customWidth="1"/>
    <col min="12298" max="12298" width="18.625" style="10" customWidth="1"/>
    <col min="12299" max="12299" width="8.625" style="10" customWidth="1"/>
    <col min="12300" max="12544" width="9" style="10"/>
    <col min="12545" max="12545" width="12.625" style="10" customWidth="1"/>
    <col min="12546" max="12547" width="6.625" style="10" customWidth="1"/>
    <col min="12548" max="12548" width="21.625" style="10" customWidth="1"/>
    <col min="12549" max="12549" width="28.625" style="10" customWidth="1"/>
    <col min="12550" max="12550" width="5.625" style="10" customWidth="1"/>
    <col min="12551" max="12551" width="8.625" style="10" customWidth="1"/>
    <col min="12552" max="12552" width="9.625" style="10" customWidth="1"/>
    <col min="12553" max="12553" width="8.625" style="10" customWidth="1"/>
    <col min="12554" max="12554" width="18.625" style="10" customWidth="1"/>
    <col min="12555" max="12555" width="8.625" style="10" customWidth="1"/>
    <col min="12556" max="12800" width="9" style="10"/>
    <col min="12801" max="12801" width="12.625" style="10" customWidth="1"/>
    <col min="12802" max="12803" width="6.625" style="10" customWidth="1"/>
    <col min="12804" max="12804" width="21.625" style="10" customWidth="1"/>
    <col min="12805" max="12805" width="28.625" style="10" customWidth="1"/>
    <col min="12806" max="12806" width="5.625" style="10" customWidth="1"/>
    <col min="12807" max="12807" width="8.625" style="10" customWidth="1"/>
    <col min="12808" max="12808" width="9.625" style="10" customWidth="1"/>
    <col min="12809" max="12809" width="8.625" style="10" customWidth="1"/>
    <col min="12810" max="12810" width="18.625" style="10" customWidth="1"/>
    <col min="12811" max="12811" width="8.625" style="10" customWidth="1"/>
    <col min="12812" max="13056" width="9" style="10"/>
    <col min="13057" max="13057" width="12.625" style="10" customWidth="1"/>
    <col min="13058" max="13059" width="6.625" style="10" customWidth="1"/>
    <col min="13060" max="13060" width="21.625" style="10" customWidth="1"/>
    <col min="13061" max="13061" width="28.625" style="10" customWidth="1"/>
    <col min="13062" max="13062" width="5.625" style="10" customWidth="1"/>
    <col min="13063" max="13063" width="8.625" style="10" customWidth="1"/>
    <col min="13064" max="13064" width="9.625" style="10" customWidth="1"/>
    <col min="13065" max="13065" width="8.625" style="10" customWidth="1"/>
    <col min="13066" max="13066" width="18.625" style="10" customWidth="1"/>
    <col min="13067" max="13067" width="8.625" style="10" customWidth="1"/>
    <col min="13068" max="13312" width="9" style="10"/>
    <col min="13313" max="13313" width="12.625" style="10" customWidth="1"/>
    <col min="13314" max="13315" width="6.625" style="10" customWidth="1"/>
    <col min="13316" max="13316" width="21.625" style="10" customWidth="1"/>
    <col min="13317" max="13317" width="28.625" style="10" customWidth="1"/>
    <col min="13318" max="13318" width="5.625" style="10" customWidth="1"/>
    <col min="13319" max="13319" width="8.625" style="10" customWidth="1"/>
    <col min="13320" max="13320" width="9.625" style="10" customWidth="1"/>
    <col min="13321" max="13321" width="8.625" style="10" customWidth="1"/>
    <col min="13322" max="13322" width="18.625" style="10" customWidth="1"/>
    <col min="13323" max="13323" width="8.625" style="10" customWidth="1"/>
    <col min="13324" max="13568" width="9" style="10"/>
    <col min="13569" max="13569" width="12.625" style="10" customWidth="1"/>
    <col min="13570" max="13571" width="6.625" style="10" customWidth="1"/>
    <col min="13572" max="13572" width="21.625" style="10" customWidth="1"/>
    <col min="13573" max="13573" width="28.625" style="10" customWidth="1"/>
    <col min="13574" max="13574" width="5.625" style="10" customWidth="1"/>
    <col min="13575" max="13575" width="8.625" style="10" customWidth="1"/>
    <col min="13576" max="13576" width="9.625" style="10" customWidth="1"/>
    <col min="13577" max="13577" width="8.625" style="10" customWidth="1"/>
    <col min="13578" max="13578" width="18.625" style="10" customWidth="1"/>
    <col min="13579" max="13579" width="8.625" style="10" customWidth="1"/>
    <col min="13580" max="13824" width="9" style="10"/>
    <col min="13825" max="13825" width="12.625" style="10" customWidth="1"/>
    <col min="13826" max="13827" width="6.625" style="10" customWidth="1"/>
    <col min="13828" max="13828" width="21.625" style="10" customWidth="1"/>
    <col min="13829" max="13829" width="28.625" style="10" customWidth="1"/>
    <col min="13830" max="13830" width="5.625" style="10" customWidth="1"/>
    <col min="13831" max="13831" width="8.625" style="10" customWidth="1"/>
    <col min="13832" max="13832" width="9.625" style="10" customWidth="1"/>
    <col min="13833" max="13833" width="8.625" style="10" customWidth="1"/>
    <col min="13834" max="13834" width="18.625" style="10" customWidth="1"/>
    <col min="13835" max="13835" width="8.625" style="10" customWidth="1"/>
    <col min="13836" max="14080" width="9" style="10"/>
    <col min="14081" max="14081" width="12.625" style="10" customWidth="1"/>
    <col min="14082" max="14083" width="6.625" style="10" customWidth="1"/>
    <col min="14084" max="14084" width="21.625" style="10" customWidth="1"/>
    <col min="14085" max="14085" width="28.625" style="10" customWidth="1"/>
    <col min="14086" max="14086" width="5.625" style="10" customWidth="1"/>
    <col min="14087" max="14087" width="8.625" style="10" customWidth="1"/>
    <col min="14088" max="14088" width="9.625" style="10" customWidth="1"/>
    <col min="14089" max="14089" width="8.625" style="10" customWidth="1"/>
    <col min="14090" max="14090" width="18.625" style="10" customWidth="1"/>
    <col min="14091" max="14091" width="8.625" style="10" customWidth="1"/>
    <col min="14092" max="14336" width="9" style="10"/>
    <col min="14337" max="14337" width="12.625" style="10" customWidth="1"/>
    <col min="14338" max="14339" width="6.625" style="10" customWidth="1"/>
    <col min="14340" max="14340" width="21.625" style="10" customWidth="1"/>
    <col min="14341" max="14341" width="28.625" style="10" customWidth="1"/>
    <col min="14342" max="14342" width="5.625" style="10" customWidth="1"/>
    <col min="14343" max="14343" width="8.625" style="10" customWidth="1"/>
    <col min="14344" max="14344" width="9.625" style="10" customWidth="1"/>
    <col min="14345" max="14345" width="8.625" style="10" customWidth="1"/>
    <col min="14346" max="14346" width="18.625" style="10" customWidth="1"/>
    <col min="14347" max="14347" width="8.625" style="10" customWidth="1"/>
    <col min="14348" max="14592" width="9" style="10"/>
    <col min="14593" max="14593" width="12.625" style="10" customWidth="1"/>
    <col min="14594" max="14595" width="6.625" style="10" customWidth="1"/>
    <col min="14596" max="14596" width="21.625" style="10" customWidth="1"/>
    <col min="14597" max="14597" width="28.625" style="10" customWidth="1"/>
    <col min="14598" max="14598" width="5.625" style="10" customWidth="1"/>
    <col min="14599" max="14599" width="8.625" style="10" customWidth="1"/>
    <col min="14600" max="14600" width="9.625" style="10" customWidth="1"/>
    <col min="14601" max="14601" width="8.625" style="10" customWidth="1"/>
    <col min="14602" max="14602" width="18.625" style="10" customWidth="1"/>
    <col min="14603" max="14603" width="8.625" style="10" customWidth="1"/>
    <col min="14604" max="14848" width="9" style="10"/>
    <col min="14849" max="14849" width="12.625" style="10" customWidth="1"/>
    <col min="14850" max="14851" width="6.625" style="10" customWidth="1"/>
    <col min="14852" max="14852" width="21.625" style="10" customWidth="1"/>
    <col min="14853" max="14853" width="28.625" style="10" customWidth="1"/>
    <col min="14854" max="14854" width="5.625" style="10" customWidth="1"/>
    <col min="14855" max="14855" width="8.625" style="10" customWidth="1"/>
    <col min="14856" max="14856" width="9.625" style="10" customWidth="1"/>
    <col min="14857" max="14857" width="8.625" style="10" customWidth="1"/>
    <col min="14858" max="14858" width="18.625" style="10" customWidth="1"/>
    <col min="14859" max="14859" width="8.625" style="10" customWidth="1"/>
    <col min="14860" max="15104" width="9" style="10"/>
    <col min="15105" max="15105" width="12.625" style="10" customWidth="1"/>
    <col min="15106" max="15107" width="6.625" style="10" customWidth="1"/>
    <col min="15108" max="15108" width="21.625" style="10" customWidth="1"/>
    <col min="15109" max="15109" width="28.625" style="10" customWidth="1"/>
    <col min="15110" max="15110" width="5.625" style="10" customWidth="1"/>
    <col min="15111" max="15111" width="8.625" style="10" customWidth="1"/>
    <col min="15112" max="15112" width="9.625" style="10" customWidth="1"/>
    <col min="15113" max="15113" width="8.625" style="10" customWidth="1"/>
    <col min="15114" max="15114" width="18.625" style="10" customWidth="1"/>
    <col min="15115" max="15115" width="8.625" style="10" customWidth="1"/>
    <col min="15116" max="15360" width="9" style="10"/>
    <col min="15361" max="15361" width="12.625" style="10" customWidth="1"/>
    <col min="15362" max="15363" width="6.625" style="10" customWidth="1"/>
    <col min="15364" max="15364" width="21.625" style="10" customWidth="1"/>
    <col min="15365" max="15365" width="28.625" style="10" customWidth="1"/>
    <col min="15366" max="15366" width="5.625" style="10" customWidth="1"/>
    <col min="15367" max="15367" width="8.625" style="10" customWidth="1"/>
    <col min="15368" max="15368" width="9.625" style="10" customWidth="1"/>
    <col min="15369" max="15369" width="8.625" style="10" customWidth="1"/>
    <col min="15370" max="15370" width="18.625" style="10" customWidth="1"/>
    <col min="15371" max="15371" width="8.625" style="10" customWidth="1"/>
    <col min="15372" max="15616" width="9" style="10"/>
    <col min="15617" max="15617" width="12.625" style="10" customWidth="1"/>
    <col min="15618" max="15619" width="6.625" style="10" customWidth="1"/>
    <col min="15620" max="15620" width="21.625" style="10" customWidth="1"/>
    <col min="15621" max="15621" width="28.625" style="10" customWidth="1"/>
    <col min="15622" max="15622" width="5.625" style="10" customWidth="1"/>
    <col min="15623" max="15623" width="8.625" style="10" customWidth="1"/>
    <col min="15624" max="15624" width="9.625" style="10" customWidth="1"/>
    <col min="15625" max="15625" width="8.625" style="10" customWidth="1"/>
    <col min="15626" max="15626" width="18.625" style="10" customWidth="1"/>
    <col min="15627" max="15627" width="8.625" style="10" customWidth="1"/>
    <col min="15628" max="15872" width="9" style="10"/>
    <col min="15873" max="15873" width="12.625" style="10" customWidth="1"/>
    <col min="15874" max="15875" width="6.625" style="10" customWidth="1"/>
    <col min="15876" max="15876" width="21.625" style="10" customWidth="1"/>
    <col min="15877" max="15877" width="28.625" style="10" customWidth="1"/>
    <col min="15878" max="15878" width="5.625" style="10" customWidth="1"/>
    <col min="15879" max="15879" width="8.625" style="10" customWidth="1"/>
    <col min="15880" max="15880" width="9.625" style="10" customWidth="1"/>
    <col min="15881" max="15881" width="8.625" style="10" customWidth="1"/>
    <col min="15882" max="15882" width="18.625" style="10" customWidth="1"/>
    <col min="15883" max="15883" width="8.625" style="10" customWidth="1"/>
    <col min="15884" max="16128" width="9" style="10"/>
    <col min="16129" max="16129" width="12.625" style="10" customWidth="1"/>
    <col min="16130" max="16131" width="6.625" style="10" customWidth="1"/>
    <col min="16132" max="16132" width="21.625" style="10" customWidth="1"/>
    <col min="16133" max="16133" width="28.625" style="10" customWidth="1"/>
    <col min="16134" max="16134" width="5.625" style="10" customWidth="1"/>
    <col min="16135" max="16135" width="8.625" style="10" customWidth="1"/>
    <col min="16136" max="16136" width="9.625" style="10" customWidth="1"/>
    <col min="16137" max="16137" width="8.625" style="10" customWidth="1"/>
    <col min="16138" max="16138" width="18.625" style="10" customWidth="1"/>
    <col min="16139" max="16139" width="8.625" style="10" customWidth="1"/>
    <col min="16140" max="16384" width="9" style="10"/>
  </cols>
  <sheetData>
    <row r="1" spans="1:13" s="11" customFormat="1" ht="25.5" thickBot="1" x14ac:dyDescent="0.3">
      <c r="A1" s="27" t="s">
        <v>3</v>
      </c>
      <c r="B1" s="34" t="s">
        <v>12</v>
      </c>
      <c r="C1" s="50" t="s">
        <v>19</v>
      </c>
      <c r="D1" s="51" t="s">
        <v>0</v>
      </c>
      <c r="E1" s="52" t="s">
        <v>1</v>
      </c>
      <c r="F1" s="52" t="s">
        <v>2</v>
      </c>
      <c r="G1" s="53" t="s">
        <v>11</v>
      </c>
      <c r="H1" s="54" t="s">
        <v>9</v>
      </c>
      <c r="I1" s="52" t="s">
        <v>14</v>
      </c>
      <c r="J1" s="52" t="s">
        <v>16</v>
      </c>
      <c r="K1" s="52" t="s">
        <v>18</v>
      </c>
      <c r="L1" s="52" t="s">
        <v>17</v>
      </c>
      <c r="M1" s="55" t="s">
        <v>13</v>
      </c>
    </row>
    <row r="2" spans="1:13" s="6" customFormat="1" x14ac:dyDescent="0.25">
      <c r="A2" s="33" t="s">
        <v>4</v>
      </c>
      <c r="B2" s="35" t="s">
        <v>5</v>
      </c>
      <c r="C2" s="56"/>
      <c r="D2" s="57"/>
      <c r="E2" s="58"/>
      <c r="F2" s="18">
        <f t="shared" ref="F2:F16" si="0">SUM(D2*E2)</f>
        <v>0</v>
      </c>
      <c r="G2" s="59"/>
      <c r="H2" s="60"/>
      <c r="I2" s="61"/>
      <c r="J2" s="62"/>
      <c r="K2" s="61"/>
      <c r="L2" s="61"/>
      <c r="M2" s="63"/>
    </row>
    <row r="3" spans="1:13" s="7" customFormat="1" x14ac:dyDescent="0.25">
      <c r="A3" s="32" t="s">
        <v>4</v>
      </c>
      <c r="B3" s="28" t="s">
        <v>6</v>
      </c>
      <c r="C3" s="39"/>
      <c r="D3" s="3"/>
      <c r="E3" s="4"/>
      <c r="F3" s="18">
        <f t="shared" si="0"/>
        <v>0</v>
      </c>
      <c r="G3" s="14"/>
      <c r="H3" s="2"/>
      <c r="I3" s="12"/>
      <c r="J3" s="64"/>
      <c r="K3" s="12"/>
      <c r="L3" s="12"/>
      <c r="M3" s="40"/>
    </row>
    <row r="4" spans="1:13" s="7" customFormat="1" x14ac:dyDescent="0.25">
      <c r="A4" s="29"/>
      <c r="B4" s="25"/>
      <c r="C4" s="37"/>
      <c r="D4" s="16"/>
      <c r="E4" s="17"/>
      <c r="F4" s="18">
        <f t="shared" si="0"/>
        <v>0</v>
      </c>
      <c r="G4" s="19"/>
      <c r="H4" s="20"/>
      <c r="I4" s="21"/>
      <c r="J4" s="22"/>
      <c r="K4" s="21"/>
      <c r="L4" s="21"/>
      <c r="M4" s="38"/>
    </row>
    <row r="5" spans="1:13" s="7" customFormat="1" x14ac:dyDescent="0.25">
      <c r="A5" s="30"/>
      <c r="B5" s="26"/>
      <c r="C5" s="39"/>
      <c r="D5" s="3"/>
      <c r="E5" s="4"/>
      <c r="F5" s="5">
        <f t="shared" si="0"/>
        <v>0</v>
      </c>
      <c r="G5" s="14"/>
      <c r="H5" s="2"/>
      <c r="I5" s="12"/>
      <c r="J5" s="23"/>
      <c r="K5" s="12"/>
      <c r="L5" s="12"/>
      <c r="M5" s="40"/>
    </row>
    <row r="6" spans="1:13" s="7" customFormat="1" x14ac:dyDescent="0.25">
      <c r="A6" s="30"/>
      <c r="B6" s="26"/>
      <c r="C6" s="39"/>
      <c r="D6" s="3"/>
      <c r="E6" s="4"/>
      <c r="F6" s="5">
        <f t="shared" si="0"/>
        <v>0</v>
      </c>
      <c r="G6" s="14"/>
      <c r="H6" s="2"/>
      <c r="I6" s="12"/>
      <c r="J6" s="23"/>
      <c r="K6" s="12"/>
      <c r="L6" s="12"/>
      <c r="M6" s="40"/>
    </row>
    <row r="7" spans="1:13" s="7" customFormat="1" x14ac:dyDescent="0.25">
      <c r="A7" s="30"/>
      <c r="B7" s="26"/>
      <c r="C7" s="39"/>
      <c r="D7" s="3"/>
      <c r="E7" s="4"/>
      <c r="F7" s="5">
        <f t="shared" si="0"/>
        <v>0</v>
      </c>
      <c r="G7" s="14"/>
      <c r="H7" s="2"/>
      <c r="I7" s="12"/>
      <c r="J7" s="23"/>
      <c r="K7" s="12"/>
      <c r="L7" s="12"/>
      <c r="M7" s="40"/>
    </row>
    <row r="8" spans="1:13" s="7" customFormat="1" x14ac:dyDescent="0.25">
      <c r="A8" s="30"/>
      <c r="B8" s="26"/>
      <c r="C8" s="39"/>
      <c r="D8" s="3"/>
      <c r="E8" s="4"/>
      <c r="F8" s="5">
        <f t="shared" si="0"/>
        <v>0</v>
      </c>
      <c r="G8" s="14"/>
      <c r="H8" s="2"/>
      <c r="I8" s="12"/>
      <c r="J8" s="23"/>
      <c r="K8" s="12"/>
      <c r="L8" s="12"/>
      <c r="M8" s="40"/>
    </row>
    <row r="9" spans="1:13" s="7" customFormat="1" x14ac:dyDescent="0.25">
      <c r="A9" s="30"/>
      <c r="B9" s="26"/>
      <c r="C9" s="39"/>
      <c r="D9" s="3"/>
      <c r="E9" s="4"/>
      <c r="F9" s="5">
        <f t="shared" si="0"/>
        <v>0</v>
      </c>
      <c r="G9" s="14"/>
      <c r="H9" s="2"/>
      <c r="I9" s="12"/>
      <c r="J9" s="23"/>
      <c r="K9" s="12"/>
      <c r="L9" s="12"/>
      <c r="M9" s="40"/>
    </row>
    <row r="10" spans="1:13" s="7" customFormat="1" x14ac:dyDescent="0.25">
      <c r="A10" s="30"/>
      <c r="B10" s="26"/>
      <c r="C10" s="39"/>
      <c r="D10" s="3"/>
      <c r="E10" s="4"/>
      <c r="F10" s="5">
        <f t="shared" si="0"/>
        <v>0</v>
      </c>
      <c r="G10" s="14"/>
      <c r="H10" s="2"/>
      <c r="I10" s="12"/>
      <c r="J10" s="23"/>
      <c r="K10" s="12"/>
      <c r="L10" s="12"/>
      <c r="M10" s="40"/>
    </row>
    <row r="11" spans="1:13" s="7" customFormat="1" x14ac:dyDescent="0.25">
      <c r="A11" s="30"/>
      <c r="B11" s="26"/>
      <c r="C11" s="39"/>
      <c r="D11" s="3"/>
      <c r="E11" s="4"/>
      <c r="F11" s="5">
        <f t="shared" si="0"/>
        <v>0</v>
      </c>
      <c r="G11" s="14"/>
      <c r="H11" s="2"/>
      <c r="I11" s="12"/>
      <c r="J11" s="23"/>
      <c r="K11" s="12"/>
      <c r="L11" s="12"/>
      <c r="M11" s="40"/>
    </row>
    <row r="12" spans="1:13" s="7" customFormat="1" x14ac:dyDescent="0.25">
      <c r="A12" s="30"/>
      <c r="B12" s="26"/>
      <c r="C12" s="39"/>
      <c r="D12" s="3"/>
      <c r="E12" s="4"/>
      <c r="F12" s="5">
        <f t="shared" si="0"/>
        <v>0</v>
      </c>
      <c r="G12" s="14"/>
      <c r="H12" s="2"/>
      <c r="I12" s="12"/>
      <c r="J12" s="23"/>
      <c r="K12" s="12"/>
      <c r="L12" s="12"/>
      <c r="M12" s="40"/>
    </row>
    <row r="13" spans="1:13" s="7" customFormat="1" x14ac:dyDescent="0.25">
      <c r="A13" s="30"/>
      <c r="B13" s="26"/>
      <c r="C13" s="39"/>
      <c r="D13" s="3"/>
      <c r="E13" s="4"/>
      <c r="F13" s="5">
        <f t="shared" si="0"/>
        <v>0</v>
      </c>
      <c r="G13" s="14"/>
      <c r="H13" s="2"/>
      <c r="I13" s="12"/>
      <c r="J13" s="23"/>
      <c r="K13" s="12"/>
      <c r="L13" s="12"/>
      <c r="M13" s="40"/>
    </row>
    <row r="14" spans="1:13" s="7" customFormat="1" x14ac:dyDescent="0.25">
      <c r="A14" s="30"/>
      <c r="B14" s="26"/>
      <c r="C14" s="39"/>
      <c r="D14" s="3"/>
      <c r="E14" s="4"/>
      <c r="F14" s="5">
        <f t="shared" si="0"/>
        <v>0</v>
      </c>
      <c r="G14" s="14"/>
      <c r="H14" s="2"/>
      <c r="I14" s="12"/>
      <c r="J14" s="23"/>
      <c r="K14" s="12"/>
      <c r="L14" s="12"/>
      <c r="M14" s="40"/>
    </row>
    <row r="15" spans="1:13" s="7" customFormat="1" x14ac:dyDescent="0.25">
      <c r="A15" s="30"/>
      <c r="B15" s="26"/>
      <c r="C15" s="39"/>
      <c r="D15" s="3"/>
      <c r="E15" s="4"/>
      <c r="F15" s="5">
        <f t="shared" si="0"/>
        <v>0</v>
      </c>
      <c r="G15" s="14"/>
      <c r="H15" s="2"/>
      <c r="I15" s="12"/>
      <c r="J15" s="23"/>
      <c r="K15" s="12"/>
      <c r="L15" s="12"/>
      <c r="M15" s="40"/>
    </row>
    <row r="16" spans="1:13" s="7" customFormat="1" ht="17.25" thickBot="1" x14ac:dyDescent="0.3">
      <c r="A16" s="31"/>
      <c r="B16" s="36"/>
      <c r="C16" s="41"/>
      <c r="D16" s="42"/>
      <c r="E16" s="43"/>
      <c r="F16" s="44">
        <f t="shared" si="0"/>
        <v>0</v>
      </c>
      <c r="G16" s="45"/>
      <c r="H16" s="46"/>
      <c r="I16" s="47"/>
      <c r="J16" s="48"/>
      <c r="K16" s="47"/>
      <c r="L16" s="47"/>
      <c r="M16" s="49"/>
    </row>
    <row r="17" spans="1:12" s="7" customFormat="1" x14ac:dyDescent="0.25">
      <c r="A17" s="8"/>
      <c r="C17" s="8"/>
      <c r="G17" s="15"/>
      <c r="H17" s="8"/>
      <c r="I17" s="13"/>
      <c r="J17" s="24"/>
      <c r="K17" s="13"/>
      <c r="L17" s="13"/>
    </row>
    <row r="18" spans="1:12" s="7" customFormat="1" x14ac:dyDescent="0.25">
      <c r="A18" s="8"/>
      <c r="C18" s="8"/>
      <c r="G18" s="15"/>
      <c r="H18" s="8"/>
      <c r="I18" s="13"/>
      <c r="J18" s="24"/>
      <c r="K18" s="13"/>
      <c r="L18" s="13"/>
    </row>
    <row r="19" spans="1:12" s="7" customFormat="1" x14ac:dyDescent="0.25">
      <c r="A19" s="8"/>
      <c r="C19" s="8"/>
      <c r="G19" s="15"/>
      <c r="H19" s="8"/>
      <c r="I19" s="13"/>
      <c r="J19" s="24"/>
      <c r="K19" s="13"/>
      <c r="L19" s="13"/>
    </row>
    <row r="20" spans="1:12" s="7" customFormat="1" x14ac:dyDescent="0.25">
      <c r="A20" s="8"/>
      <c r="C20" s="8"/>
      <c r="G20" s="15"/>
      <c r="H20" s="8"/>
      <c r="I20" s="13"/>
      <c r="J20" s="24"/>
      <c r="K20" s="13"/>
      <c r="L20" s="13"/>
    </row>
    <row r="21" spans="1:12" s="7" customFormat="1" x14ac:dyDescent="0.25">
      <c r="A21" s="8"/>
      <c r="C21" s="8"/>
      <c r="G21" s="15"/>
      <c r="H21" s="8"/>
      <c r="I21" s="13"/>
      <c r="J21" s="24"/>
      <c r="K21" s="13"/>
      <c r="L21" s="13"/>
    </row>
    <row r="22" spans="1:12" s="7" customFormat="1" x14ac:dyDescent="0.25">
      <c r="A22" s="8"/>
      <c r="C22" s="8"/>
      <c r="G22" s="15"/>
      <c r="H22" s="8"/>
      <c r="I22" s="13"/>
      <c r="J22" s="24"/>
      <c r="K22" s="13"/>
      <c r="L22" s="13"/>
    </row>
    <row r="23" spans="1:12" s="7" customFormat="1" x14ac:dyDescent="0.25">
      <c r="A23" s="8"/>
      <c r="C23" s="8"/>
      <c r="G23" s="15"/>
      <c r="H23" s="8"/>
      <c r="I23" s="13"/>
      <c r="J23" s="24"/>
      <c r="K23" s="13"/>
      <c r="L23" s="13"/>
    </row>
    <row r="24" spans="1:12" s="7" customFormat="1" x14ac:dyDescent="0.25">
      <c r="A24" s="8"/>
      <c r="C24" s="8"/>
      <c r="G24" s="15"/>
      <c r="H24" s="8"/>
      <c r="I24" s="13"/>
      <c r="J24" s="24"/>
      <c r="K24" s="13"/>
      <c r="L24" s="13"/>
    </row>
    <row r="25" spans="1:12" s="7" customFormat="1" x14ac:dyDescent="0.25">
      <c r="A25" s="8"/>
      <c r="C25" s="8"/>
      <c r="G25" s="15"/>
      <c r="H25" s="8"/>
      <c r="I25" s="13"/>
      <c r="J25" s="24"/>
      <c r="K25" s="13"/>
      <c r="L25" s="13"/>
    </row>
    <row r="26" spans="1:12" s="7" customFormat="1" x14ac:dyDescent="0.25">
      <c r="A26" s="8"/>
      <c r="C26" s="8"/>
      <c r="G26" s="15"/>
      <c r="H26" s="8"/>
      <c r="I26" s="13"/>
      <c r="J26" s="24"/>
      <c r="K26" s="13"/>
      <c r="L26" s="13"/>
    </row>
    <row r="27" spans="1:12" s="7" customFormat="1" x14ac:dyDescent="0.25">
      <c r="A27" s="8"/>
      <c r="C27" s="8"/>
      <c r="G27" s="15"/>
      <c r="H27" s="8"/>
      <c r="I27" s="13"/>
      <c r="J27" s="24"/>
      <c r="K27" s="13"/>
      <c r="L27" s="13"/>
    </row>
    <row r="28" spans="1:12" s="7" customFormat="1" x14ac:dyDescent="0.25">
      <c r="A28" s="8"/>
      <c r="C28" s="8"/>
      <c r="G28" s="15"/>
      <c r="H28" s="8"/>
      <c r="I28" s="13"/>
      <c r="J28" s="24"/>
      <c r="K28" s="13"/>
      <c r="L28" s="13"/>
    </row>
    <row r="29" spans="1:12" s="7" customFormat="1" x14ac:dyDescent="0.25">
      <c r="A29" s="8"/>
      <c r="C29" s="8"/>
      <c r="G29" s="15"/>
      <c r="H29" s="8"/>
      <c r="I29" s="13"/>
      <c r="J29" s="24"/>
      <c r="K29" s="13"/>
      <c r="L29" s="13"/>
    </row>
    <row r="30" spans="1:12" s="7" customFormat="1" x14ac:dyDescent="0.25">
      <c r="A30" s="8"/>
      <c r="C30" s="8"/>
      <c r="G30" s="15"/>
      <c r="H30" s="8"/>
      <c r="I30" s="13"/>
      <c r="J30" s="24"/>
      <c r="K30" s="13"/>
      <c r="L30" s="13"/>
    </row>
    <row r="31" spans="1:12" s="7" customFormat="1" x14ac:dyDescent="0.25">
      <c r="A31" s="8"/>
      <c r="C31" s="8"/>
      <c r="G31" s="15"/>
      <c r="H31" s="8"/>
      <c r="I31" s="13"/>
      <c r="J31" s="24"/>
      <c r="K31" s="13"/>
      <c r="L31" s="13"/>
    </row>
    <row r="32" spans="1:12" s="7" customFormat="1" x14ac:dyDescent="0.25">
      <c r="A32" s="8"/>
      <c r="C32" s="8"/>
      <c r="G32" s="15"/>
      <c r="H32" s="8"/>
      <c r="I32" s="13"/>
      <c r="J32" s="24"/>
      <c r="K32" s="13"/>
      <c r="L32" s="13"/>
    </row>
    <row r="33" spans="1:12" s="7" customFormat="1" x14ac:dyDescent="0.25">
      <c r="A33" s="8"/>
      <c r="C33" s="8"/>
      <c r="G33" s="15"/>
      <c r="H33" s="8"/>
      <c r="I33" s="13"/>
      <c r="J33" s="24"/>
      <c r="K33" s="13"/>
      <c r="L33" s="13"/>
    </row>
    <row r="34" spans="1:12" s="7" customFormat="1" x14ac:dyDescent="0.25">
      <c r="A34" s="8"/>
      <c r="C34" s="8"/>
      <c r="G34" s="15"/>
      <c r="H34" s="8"/>
      <c r="I34" s="13"/>
      <c r="J34" s="24"/>
      <c r="K34" s="13"/>
      <c r="L34" s="13"/>
    </row>
    <row r="35" spans="1:12" s="7" customFormat="1" x14ac:dyDescent="0.25">
      <c r="A35" s="8"/>
      <c r="C35" s="8"/>
      <c r="G35" s="15"/>
      <c r="H35" s="8"/>
      <c r="I35" s="13"/>
      <c r="J35" s="24"/>
      <c r="K35" s="13"/>
      <c r="L35" s="13"/>
    </row>
    <row r="36" spans="1:12" s="7" customFormat="1" x14ac:dyDescent="0.25">
      <c r="A36" s="8"/>
      <c r="C36" s="8"/>
      <c r="G36" s="15"/>
      <c r="H36" s="8"/>
      <c r="I36" s="13"/>
      <c r="J36" s="24"/>
      <c r="K36" s="13"/>
      <c r="L36" s="13"/>
    </row>
    <row r="37" spans="1:12" s="7" customFormat="1" x14ac:dyDescent="0.25">
      <c r="A37" s="8"/>
      <c r="C37" s="8"/>
      <c r="G37" s="15"/>
      <c r="H37" s="8"/>
      <c r="I37" s="13"/>
      <c r="J37" s="24"/>
      <c r="K37" s="13"/>
      <c r="L37" s="13"/>
    </row>
    <row r="38" spans="1:12" s="7" customFormat="1" x14ac:dyDescent="0.25">
      <c r="A38" s="8"/>
      <c r="C38" s="8"/>
      <c r="G38" s="15"/>
      <c r="H38" s="8"/>
      <c r="I38" s="13"/>
      <c r="J38" s="24"/>
      <c r="K38" s="13"/>
      <c r="L38" s="13"/>
    </row>
    <row r="39" spans="1:12" s="7" customFormat="1" x14ac:dyDescent="0.25">
      <c r="A39" s="8"/>
      <c r="C39" s="8"/>
      <c r="G39" s="15"/>
      <c r="H39" s="8"/>
      <c r="I39" s="13"/>
      <c r="J39" s="24"/>
      <c r="K39" s="13"/>
      <c r="L39" s="13"/>
    </row>
    <row r="40" spans="1:12" s="7" customFormat="1" x14ac:dyDescent="0.25">
      <c r="A40" s="8"/>
      <c r="C40" s="8"/>
      <c r="G40" s="15"/>
      <c r="H40" s="8"/>
      <c r="I40" s="13"/>
      <c r="J40" s="24"/>
      <c r="K40" s="13"/>
      <c r="L40" s="13"/>
    </row>
    <row r="41" spans="1:12" s="7" customFormat="1" x14ac:dyDescent="0.25">
      <c r="A41" s="8"/>
      <c r="C41" s="8"/>
      <c r="G41" s="15"/>
      <c r="H41" s="8"/>
      <c r="I41" s="13"/>
      <c r="J41" s="24"/>
      <c r="K41" s="13"/>
      <c r="L41" s="13"/>
    </row>
    <row r="42" spans="1:12" s="7" customFormat="1" x14ac:dyDescent="0.25">
      <c r="A42" s="8"/>
      <c r="C42" s="8"/>
      <c r="G42" s="15"/>
      <c r="H42" s="8"/>
      <c r="I42" s="13"/>
      <c r="J42" s="24"/>
      <c r="K42" s="13"/>
      <c r="L42" s="13"/>
    </row>
    <row r="43" spans="1:12" s="7" customFormat="1" x14ac:dyDescent="0.25">
      <c r="A43" s="8"/>
      <c r="C43" s="8"/>
      <c r="G43" s="15"/>
      <c r="H43" s="8"/>
      <c r="I43" s="13"/>
      <c r="J43" s="24"/>
      <c r="K43" s="13"/>
      <c r="L43" s="13"/>
    </row>
    <row r="44" spans="1:12" s="7" customFormat="1" x14ac:dyDescent="0.25">
      <c r="A44" s="8"/>
      <c r="C44" s="8"/>
      <c r="G44" s="15"/>
      <c r="H44" s="8"/>
      <c r="I44" s="13"/>
      <c r="J44" s="24"/>
      <c r="K44" s="13"/>
      <c r="L44" s="13"/>
    </row>
    <row r="45" spans="1:12" s="7" customFormat="1" x14ac:dyDescent="0.25">
      <c r="A45" s="8"/>
      <c r="C45" s="8"/>
      <c r="G45" s="15"/>
      <c r="H45" s="8"/>
      <c r="I45" s="13"/>
      <c r="J45" s="24"/>
      <c r="K45" s="13"/>
      <c r="L45" s="13"/>
    </row>
    <row r="46" spans="1:12" s="7" customFormat="1" x14ac:dyDescent="0.25">
      <c r="A46" s="8"/>
      <c r="C46" s="8"/>
      <c r="G46" s="15"/>
      <c r="H46" s="8"/>
      <c r="I46" s="13"/>
      <c r="J46" s="24"/>
      <c r="K46" s="13"/>
      <c r="L46" s="13"/>
    </row>
    <row r="47" spans="1:12" s="7" customFormat="1" x14ac:dyDescent="0.25">
      <c r="A47" s="8"/>
      <c r="C47" s="8"/>
      <c r="G47" s="15"/>
      <c r="H47" s="8"/>
      <c r="I47" s="13"/>
      <c r="J47" s="24"/>
      <c r="K47" s="13"/>
      <c r="L47" s="13"/>
    </row>
    <row r="48" spans="1:12" s="7" customFormat="1" x14ac:dyDescent="0.25">
      <c r="A48" s="8"/>
      <c r="C48" s="8"/>
      <c r="G48" s="15"/>
      <c r="H48" s="8"/>
      <c r="I48" s="13"/>
      <c r="J48" s="24"/>
      <c r="K48" s="13"/>
      <c r="L48" s="13"/>
    </row>
    <row r="49" spans="1:12" s="7" customFormat="1" x14ac:dyDescent="0.25">
      <c r="A49" s="8"/>
      <c r="C49" s="8"/>
      <c r="G49" s="15"/>
      <c r="H49" s="8"/>
      <c r="I49" s="13"/>
      <c r="J49" s="24"/>
      <c r="K49" s="13"/>
      <c r="L49" s="13"/>
    </row>
    <row r="50" spans="1:12" s="7" customFormat="1" x14ac:dyDescent="0.25">
      <c r="A50" s="8"/>
      <c r="C50" s="8"/>
      <c r="G50" s="15"/>
      <c r="H50" s="8"/>
      <c r="I50" s="13"/>
      <c r="J50" s="24"/>
      <c r="K50" s="13"/>
      <c r="L50" s="13"/>
    </row>
    <row r="51" spans="1:12" s="7" customFormat="1" x14ac:dyDescent="0.25">
      <c r="A51" s="8"/>
      <c r="C51" s="8"/>
      <c r="G51" s="15"/>
      <c r="H51" s="8"/>
      <c r="I51" s="13"/>
      <c r="J51" s="24"/>
      <c r="K51" s="13"/>
      <c r="L51" s="13"/>
    </row>
    <row r="52" spans="1:12" s="7" customFormat="1" x14ac:dyDescent="0.25">
      <c r="A52" s="8"/>
      <c r="C52" s="8"/>
      <c r="G52" s="15"/>
      <c r="H52" s="8"/>
      <c r="I52" s="13"/>
      <c r="J52" s="24"/>
      <c r="K52" s="13"/>
      <c r="L52" s="13"/>
    </row>
    <row r="53" spans="1:12" s="7" customFormat="1" x14ac:dyDescent="0.25">
      <c r="A53" s="8"/>
      <c r="C53" s="8"/>
      <c r="G53" s="15"/>
      <c r="H53" s="8"/>
      <c r="I53" s="13"/>
      <c r="J53" s="24"/>
      <c r="K53" s="13"/>
      <c r="L53" s="13"/>
    </row>
    <row r="54" spans="1:12" s="7" customFormat="1" x14ac:dyDescent="0.25">
      <c r="A54" s="8"/>
      <c r="C54" s="8"/>
      <c r="G54" s="15"/>
      <c r="H54" s="8"/>
      <c r="I54" s="13"/>
      <c r="J54" s="24"/>
      <c r="K54" s="13"/>
      <c r="L54" s="13"/>
    </row>
    <row r="55" spans="1:12" s="7" customFormat="1" x14ac:dyDescent="0.25">
      <c r="A55" s="8"/>
      <c r="C55" s="8"/>
      <c r="G55" s="15"/>
      <c r="H55" s="8"/>
      <c r="I55" s="13"/>
      <c r="J55" s="24"/>
      <c r="K55" s="13"/>
      <c r="L55" s="13"/>
    </row>
    <row r="56" spans="1:12" s="7" customFormat="1" x14ac:dyDescent="0.25">
      <c r="A56" s="8"/>
      <c r="C56" s="8"/>
      <c r="G56" s="15"/>
      <c r="H56" s="8"/>
      <c r="I56" s="13"/>
      <c r="J56" s="24"/>
      <c r="K56" s="13"/>
      <c r="L56" s="13"/>
    </row>
    <row r="57" spans="1:12" s="7" customFormat="1" x14ac:dyDescent="0.25">
      <c r="A57" s="8"/>
      <c r="C57" s="8"/>
      <c r="G57" s="15"/>
      <c r="H57" s="8"/>
      <c r="I57" s="13"/>
      <c r="J57" s="24"/>
      <c r="K57" s="13"/>
      <c r="L57" s="13"/>
    </row>
    <row r="58" spans="1:12" s="7" customFormat="1" x14ac:dyDescent="0.25">
      <c r="A58" s="8"/>
      <c r="C58" s="8"/>
      <c r="G58" s="15"/>
      <c r="H58" s="8"/>
      <c r="I58" s="13"/>
      <c r="J58" s="24"/>
      <c r="K58" s="13"/>
      <c r="L58" s="13"/>
    </row>
    <row r="59" spans="1:12" s="7" customFormat="1" x14ac:dyDescent="0.25">
      <c r="A59" s="8"/>
      <c r="C59" s="8"/>
      <c r="G59" s="15"/>
      <c r="H59" s="8"/>
      <c r="I59" s="13"/>
      <c r="J59" s="24"/>
      <c r="K59" s="13"/>
      <c r="L59" s="13"/>
    </row>
    <row r="60" spans="1:12" s="7" customFormat="1" x14ac:dyDescent="0.25">
      <c r="A60" s="8"/>
      <c r="C60" s="8"/>
      <c r="G60" s="15"/>
      <c r="H60" s="8"/>
      <c r="I60" s="13"/>
      <c r="J60" s="24"/>
      <c r="K60" s="13"/>
      <c r="L60" s="13"/>
    </row>
    <row r="61" spans="1:12" s="7" customFormat="1" x14ac:dyDescent="0.25">
      <c r="A61" s="8"/>
      <c r="C61" s="8"/>
      <c r="G61" s="15"/>
      <c r="H61" s="8"/>
      <c r="I61" s="13"/>
      <c r="J61" s="24"/>
      <c r="K61" s="13"/>
      <c r="L61" s="13"/>
    </row>
    <row r="62" spans="1:12" s="7" customFormat="1" x14ac:dyDescent="0.25">
      <c r="A62" s="8"/>
      <c r="C62" s="8"/>
      <c r="G62" s="15"/>
      <c r="H62" s="8"/>
      <c r="I62" s="13"/>
      <c r="J62" s="24"/>
      <c r="K62" s="13"/>
      <c r="L62" s="13"/>
    </row>
    <row r="63" spans="1:12" s="7" customFormat="1" x14ac:dyDescent="0.25">
      <c r="A63" s="8"/>
      <c r="C63" s="8"/>
      <c r="G63" s="15"/>
      <c r="H63" s="8"/>
      <c r="I63" s="13"/>
      <c r="J63" s="24"/>
      <c r="K63" s="13"/>
      <c r="L63" s="13"/>
    </row>
    <row r="64" spans="1:12" s="7" customFormat="1" x14ac:dyDescent="0.25">
      <c r="A64" s="8"/>
      <c r="C64" s="8"/>
      <c r="G64" s="15"/>
      <c r="H64" s="8"/>
      <c r="I64" s="13"/>
      <c r="J64" s="24"/>
      <c r="K64" s="13"/>
      <c r="L64" s="13"/>
    </row>
    <row r="65" spans="1:12" s="7" customFormat="1" x14ac:dyDescent="0.25">
      <c r="A65" s="8"/>
      <c r="C65" s="8"/>
      <c r="G65" s="15"/>
      <c r="H65" s="8"/>
      <c r="I65" s="13"/>
      <c r="J65" s="24"/>
      <c r="K65" s="13"/>
      <c r="L65" s="13"/>
    </row>
    <row r="66" spans="1:12" s="7" customFormat="1" x14ac:dyDescent="0.25">
      <c r="A66" s="8"/>
      <c r="C66" s="8"/>
      <c r="G66" s="15"/>
      <c r="H66" s="8"/>
      <c r="I66" s="13"/>
      <c r="J66" s="24"/>
      <c r="K66" s="13"/>
      <c r="L66" s="13"/>
    </row>
    <row r="67" spans="1:12" s="7" customFormat="1" x14ac:dyDescent="0.25">
      <c r="A67" s="8"/>
      <c r="C67" s="8"/>
      <c r="G67" s="15"/>
      <c r="H67" s="8"/>
      <c r="I67" s="13"/>
      <c r="J67" s="24"/>
      <c r="K67" s="13"/>
      <c r="L67" s="13"/>
    </row>
    <row r="68" spans="1:12" s="7" customFormat="1" x14ac:dyDescent="0.25">
      <c r="A68" s="8"/>
      <c r="C68" s="8"/>
      <c r="G68" s="15"/>
      <c r="H68" s="8"/>
      <c r="I68" s="13"/>
      <c r="J68" s="24"/>
      <c r="K68" s="13"/>
      <c r="L68" s="13"/>
    </row>
    <row r="69" spans="1:12" s="7" customFormat="1" x14ac:dyDescent="0.25">
      <c r="A69" s="8"/>
      <c r="C69" s="8"/>
      <c r="G69" s="15"/>
      <c r="H69" s="8"/>
      <c r="I69" s="13"/>
      <c r="J69" s="24"/>
      <c r="K69" s="13"/>
      <c r="L69" s="13"/>
    </row>
    <row r="70" spans="1:12" s="7" customFormat="1" x14ac:dyDescent="0.25">
      <c r="A70" s="8"/>
      <c r="C70" s="8"/>
      <c r="G70" s="15"/>
      <c r="H70" s="8"/>
      <c r="I70" s="13"/>
      <c r="J70" s="24"/>
      <c r="K70" s="13"/>
      <c r="L70" s="13"/>
    </row>
    <row r="71" spans="1:12" s="7" customFormat="1" x14ac:dyDescent="0.25">
      <c r="A71" s="8"/>
      <c r="C71" s="8"/>
      <c r="G71" s="15"/>
      <c r="H71" s="8"/>
      <c r="I71" s="13"/>
      <c r="J71" s="24"/>
      <c r="K71" s="13"/>
      <c r="L71" s="13"/>
    </row>
    <row r="72" spans="1:12" s="7" customFormat="1" x14ac:dyDescent="0.25">
      <c r="A72" s="8"/>
      <c r="C72" s="8"/>
      <c r="G72" s="15"/>
      <c r="H72" s="8"/>
      <c r="I72" s="13"/>
      <c r="J72" s="24"/>
      <c r="K72" s="13"/>
      <c r="L72" s="13"/>
    </row>
    <row r="73" spans="1:12" s="7" customFormat="1" x14ac:dyDescent="0.25">
      <c r="A73" s="8"/>
      <c r="C73" s="8"/>
      <c r="G73" s="15"/>
      <c r="H73" s="8"/>
      <c r="I73" s="13"/>
      <c r="J73" s="24"/>
      <c r="K73" s="13"/>
      <c r="L73" s="13"/>
    </row>
    <row r="74" spans="1:12" s="7" customFormat="1" x14ac:dyDescent="0.25">
      <c r="A74" s="8"/>
      <c r="C74" s="8"/>
      <c r="G74" s="15"/>
      <c r="H74" s="8"/>
      <c r="I74" s="13"/>
      <c r="J74" s="24"/>
      <c r="K74" s="13"/>
      <c r="L74" s="13"/>
    </row>
    <row r="75" spans="1:12" x14ac:dyDescent="0.25">
      <c r="I75" s="13"/>
      <c r="K75" s="13"/>
      <c r="L75" s="13"/>
    </row>
    <row r="76" spans="1:12" x14ac:dyDescent="0.25">
      <c r="I76" s="13"/>
      <c r="K76" s="13"/>
      <c r="L76" s="13"/>
    </row>
    <row r="77" spans="1:12" x14ac:dyDescent="0.25">
      <c r="I77" s="13"/>
      <c r="K77" s="13"/>
      <c r="L77" s="13"/>
    </row>
    <row r="78" spans="1:12" x14ac:dyDescent="0.25">
      <c r="I78" s="13"/>
      <c r="K78" s="13"/>
      <c r="L78" s="13"/>
    </row>
    <row r="79" spans="1:12" x14ac:dyDescent="0.25">
      <c r="I79" s="13"/>
      <c r="K79" s="13"/>
      <c r="L79" s="13"/>
    </row>
    <row r="80" spans="1:12" x14ac:dyDescent="0.25">
      <c r="I80" s="13"/>
      <c r="K80" s="13"/>
      <c r="L80" s="13"/>
    </row>
    <row r="81" spans="9:12" x14ac:dyDescent="0.25">
      <c r="I81" s="13"/>
      <c r="K81" s="13"/>
      <c r="L81" s="13"/>
    </row>
    <row r="82" spans="9:12" x14ac:dyDescent="0.25">
      <c r="I82" s="13"/>
      <c r="K82" s="13"/>
      <c r="L82" s="13"/>
    </row>
    <row r="83" spans="9:12" x14ac:dyDescent="0.25">
      <c r="I83" s="13"/>
      <c r="K83" s="13"/>
      <c r="L83" s="13"/>
    </row>
    <row r="84" spans="9:12" x14ac:dyDescent="0.25">
      <c r="I84" s="13"/>
      <c r="K84" s="13"/>
      <c r="L84" s="13"/>
    </row>
    <row r="85" spans="9:12" x14ac:dyDescent="0.25">
      <c r="I85" s="13"/>
      <c r="K85" s="13"/>
      <c r="L85" s="13"/>
    </row>
    <row r="86" spans="9:12" x14ac:dyDescent="0.25">
      <c r="I86" s="13"/>
      <c r="K86" s="13"/>
      <c r="L86" s="13"/>
    </row>
    <row r="87" spans="9:12" x14ac:dyDescent="0.25">
      <c r="I87" s="13"/>
      <c r="K87" s="13"/>
      <c r="L87" s="13"/>
    </row>
    <row r="88" spans="9:12" x14ac:dyDescent="0.25">
      <c r="I88" s="13"/>
      <c r="K88" s="13"/>
      <c r="L88" s="13"/>
    </row>
    <row r="89" spans="9:12" x14ac:dyDescent="0.25">
      <c r="I89" s="13"/>
      <c r="K89" s="13"/>
      <c r="L89" s="13"/>
    </row>
    <row r="90" spans="9:12" x14ac:dyDescent="0.25">
      <c r="I90" s="13"/>
      <c r="K90" s="13"/>
      <c r="L90" s="13"/>
    </row>
    <row r="91" spans="9:12" x14ac:dyDescent="0.25">
      <c r="I91" s="13"/>
      <c r="K91" s="13"/>
      <c r="L91" s="13"/>
    </row>
    <row r="92" spans="9:12" x14ac:dyDescent="0.25">
      <c r="I92" s="13"/>
      <c r="K92" s="13"/>
      <c r="L92" s="13"/>
    </row>
    <row r="93" spans="9:12" x14ac:dyDescent="0.25">
      <c r="I93" s="13"/>
      <c r="K93" s="13"/>
      <c r="L93" s="13"/>
    </row>
    <row r="94" spans="9:12" x14ac:dyDescent="0.25">
      <c r="I94" s="13"/>
      <c r="K94" s="13"/>
      <c r="L94" s="13"/>
    </row>
    <row r="95" spans="9:12" x14ac:dyDescent="0.25">
      <c r="I95" s="13"/>
      <c r="K95" s="13"/>
      <c r="L95" s="13"/>
    </row>
    <row r="96" spans="9:12" x14ac:dyDescent="0.25">
      <c r="I96" s="13"/>
      <c r="K96" s="13"/>
      <c r="L96" s="13"/>
    </row>
    <row r="97" spans="9:12" x14ac:dyDescent="0.25">
      <c r="I97" s="13"/>
      <c r="K97" s="13"/>
      <c r="L97" s="13"/>
    </row>
    <row r="98" spans="9:12" x14ac:dyDescent="0.25">
      <c r="I98" s="13"/>
      <c r="K98" s="13"/>
      <c r="L98" s="13"/>
    </row>
    <row r="99" spans="9:12" x14ac:dyDescent="0.25">
      <c r="I99" s="13"/>
      <c r="K99" s="13"/>
      <c r="L99" s="13"/>
    </row>
    <row r="100" spans="9:12" x14ac:dyDescent="0.25">
      <c r="I100" s="13"/>
      <c r="K100" s="13"/>
      <c r="L100" s="13"/>
    </row>
    <row r="101" spans="9:12" x14ac:dyDescent="0.25">
      <c r="I101" s="13"/>
      <c r="K101" s="13"/>
      <c r="L101" s="13"/>
    </row>
    <row r="102" spans="9:12" x14ac:dyDescent="0.25">
      <c r="I102" s="13"/>
      <c r="K102" s="13"/>
      <c r="L102" s="13"/>
    </row>
    <row r="103" spans="9:12" x14ac:dyDescent="0.25">
      <c r="I103" s="13"/>
      <c r="K103" s="13"/>
      <c r="L103" s="13"/>
    </row>
    <row r="104" spans="9:12" x14ac:dyDescent="0.25">
      <c r="I104" s="13"/>
      <c r="K104" s="13"/>
      <c r="L104" s="13"/>
    </row>
    <row r="105" spans="9:12" x14ac:dyDescent="0.25">
      <c r="I105" s="13"/>
      <c r="K105" s="13"/>
      <c r="L105" s="13"/>
    </row>
    <row r="106" spans="9:12" x14ac:dyDescent="0.25">
      <c r="I106" s="13"/>
      <c r="K106" s="13"/>
      <c r="L106" s="13"/>
    </row>
    <row r="107" spans="9:12" x14ac:dyDescent="0.25">
      <c r="I107" s="13"/>
      <c r="K107" s="13"/>
      <c r="L107" s="13"/>
    </row>
    <row r="108" spans="9:12" x14ac:dyDescent="0.25">
      <c r="I108" s="13"/>
      <c r="K108" s="13"/>
      <c r="L108" s="13"/>
    </row>
    <row r="109" spans="9:12" x14ac:dyDescent="0.25">
      <c r="I109" s="13"/>
      <c r="K109" s="13"/>
      <c r="L109" s="1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Views>
    <sheetView zoomScale="88" zoomScaleNormal="88" workbookViewId="0">
      <pane ySplit="1" topLeftCell="A2" activePane="bottomLeft" state="frozen"/>
      <selection activeCell="C1" sqref="C1"/>
      <selection pane="bottomLeft" activeCell="G1" sqref="G1"/>
    </sheetView>
  </sheetViews>
  <sheetFormatPr defaultColWidth="24.5" defaultRowHeight="31.9" customHeight="1" x14ac:dyDescent="0.25"/>
  <cols>
    <col min="1" max="1" width="18" style="200" customWidth="1"/>
    <col min="2" max="2" width="28.875" style="78" customWidth="1"/>
    <col min="3" max="3" width="8.625" style="79" customWidth="1"/>
    <col min="4" max="4" width="10.125" style="79" customWidth="1"/>
    <col min="5" max="5" width="10.75" style="79" customWidth="1"/>
    <col min="6" max="6" width="20.75" style="74" customWidth="1"/>
    <col min="7" max="7" width="15.875" style="196" customWidth="1"/>
    <col min="8" max="8" width="24.5" style="80"/>
    <col min="9" max="9" width="24.5" style="77"/>
    <col min="10" max="10" width="15.375" style="80" customWidth="1"/>
    <col min="11" max="11" width="13.25" style="80" customWidth="1"/>
    <col min="12" max="16384" width="24.5" style="79"/>
  </cols>
  <sheetData>
    <row r="1" spans="1:16" s="198" customFormat="1" ht="31.9" customHeight="1" x14ac:dyDescent="0.25">
      <c r="A1" s="229" t="s">
        <v>27</v>
      </c>
      <c r="B1" s="230" t="s">
        <v>19</v>
      </c>
      <c r="C1" s="231" t="s">
        <v>0</v>
      </c>
      <c r="D1" s="205" t="s">
        <v>1</v>
      </c>
      <c r="E1" s="205" t="s">
        <v>2</v>
      </c>
      <c r="F1" s="232" t="s">
        <v>11</v>
      </c>
      <c r="G1" s="233" t="s">
        <v>9</v>
      </c>
      <c r="H1" s="205" t="s">
        <v>14</v>
      </c>
      <c r="I1" s="205" t="s">
        <v>16</v>
      </c>
      <c r="J1" s="205" t="s">
        <v>18</v>
      </c>
      <c r="K1" s="205" t="s">
        <v>17</v>
      </c>
      <c r="L1" s="234" t="s">
        <v>13</v>
      </c>
      <c r="M1" s="201"/>
      <c r="N1" s="197"/>
      <c r="O1" s="197"/>
      <c r="P1" s="197"/>
    </row>
    <row r="2" spans="1:16" s="72" customFormat="1" ht="31.9" customHeight="1" x14ac:dyDescent="0.25">
      <c r="A2" s="235">
        <v>20250805</v>
      </c>
      <c r="B2" s="236" t="s">
        <v>93</v>
      </c>
      <c r="C2" s="237">
        <v>1</v>
      </c>
      <c r="D2" s="206">
        <v>650</v>
      </c>
      <c r="E2" s="208">
        <f>SUM(C2*D2)</f>
        <v>650</v>
      </c>
      <c r="F2" s="220" t="s">
        <v>90</v>
      </c>
      <c r="G2" s="233">
        <v>20250808</v>
      </c>
      <c r="H2" s="221" t="s">
        <v>95</v>
      </c>
      <c r="I2" s="223"/>
      <c r="J2" s="221"/>
      <c r="K2" s="221"/>
      <c r="L2" s="225" t="s">
        <v>84</v>
      </c>
      <c r="M2" s="195"/>
      <c r="N2" s="148"/>
      <c r="O2" s="148"/>
      <c r="P2" s="149"/>
    </row>
    <row r="3" spans="1:16" s="72" customFormat="1" ht="31.9" customHeight="1" x14ac:dyDescent="0.25">
      <c r="A3" s="203">
        <v>20250805</v>
      </c>
      <c r="B3" s="236" t="s">
        <v>94</v>
      </c>
      <c r="C3" s="237">
        <v>2</v>
      </c>
      <c r="D3" s="206">
        <v>650</v>
      </c>
      <c r="E3" s="208">
        <f t="shared" ref="E3:E25" si="0">SUM(C3*D3)</f>
        <v>1300</v>
      </c>
      <c r="F3" s="220" t="s">
        <v>91</v>
      </c>
      <c r="G3" s="233">
        <v>20250808</v>
      </c>
      <c r="H3" s="221" t="s">
        <v>95</v>
      </c>
      <c r="I3" s="223"/>
      <c r="J3" s="221"/>
      <c r="K3" s="221"/>
      <c r="L3" s="225" t="s">
        <v>84</v>
      </c>
      <c r="M3" s="128"/>
      <c r="N3" s="154"/>
      <c r="P3" s="150"/>
    </row>
    <row r="4" spans="1:16" s="72" customFormat="1" ht="31.9" customHeight="1" x14ac:dyDescent="0.25">
      <c r="A4" s="203">
        <v>20250808</v>
      </c>
      <c r="B4" s="236" t="s">
        <v>94</v>
      </c>
      <c r="C4" s="237">
        <v>1</v>
      </c>
      <c r="D4" s="206">
        <v>650</v>
      </c>
      <c r="E4" s="208">
        <f t="shared" si="0"/>
        <v>650</v>
      </c>
      <c r="F4" s="220" t="s">
        <v>92</v>
      </c>
      <c r="G4" s="233">
        <v>20250808</v>
      </c>
      <c r="H4" s="221" t="s">
        <v>95</v>
      </c>
      <c r="I4" s="223"/>
      <c r="J4" s="221"/>
      <c r="K4" s="221"/>
      <c r="L4" s="225" t="s">
        <v>84</v>
      </c>
      <c r="M4" s="128"/>
      <c r="N4" s="154"/>
      <c r="P4" s="150"/>
    </row>
    <row r="5" spans="1:16" s="72" customFormat="1" ht="31.9" customHeight="1" x14ac:dyDescent="0.25">
      <c r="A5" s="203"/>
      <c r="B5" s="236"/>
      <c r="C5" s="237"/>
      <c r="D5" s="206"/>
      <c r="E5" s="208">
        <f t="shared" si="0"/>
        <v>0</v>
      </c>
      <c r="F5" s="220"/>
      <c r="G5" s="233"/>
      <c r="H5" s="221"/>
      <c r="I5" s="223"/>
      <c r="J5" s="221"/>
      <c r="K5" s="221"/>
      <c r="L5" s="225"/>
      <c r="M5" s="128"/>
      <c r="N5" s="155"/>
      <c r="O5" s="151"/>
      <c r="P5" s="152"/>
    </row>
    <row r="6" spans="1:16" s="71" customFormat="1" ht="31.9" customHeight="1" x14ac:dyDescent="0.25">
      <c r="A6" s="237"/>
      <c r="B6" s="238"/>
      <c r="C6" s="237"/>
      <c r="D6" s="206"/>
      <c r="E6" s="208">
        <f t="shared" si="0"/>
        <v>0</v>
      </c>
      <c r="F6" s="220"/>
      <c r="G6" s="233"/>
      <c r="H6" s="221"/>
      <c r="I6" s="224"/>
      <c r="J6" s="221"/>
      <c r="K6" s="221"/>
      <c r="L6" s="225"/>
      <c r="M6" s="127"/>
      <c r="N6" s="177"/>
      <c r="O6" s="147"/>
      <c r="P6" s="147"/>
    </row>
    <row r="7" spans="1:16" s="72" customFormat="1" ht="42.6" customHeight="1" x14ac:dyDescent="0.25">
      <c r="A7" s="203"/>
      <c r="B7" s="236"/>
      <c r="C7" s="237"/>
      <c r="D7" s="206"/>
      <c r="E7" s="208">
        <f t="shared" si="0"/>
        <v>0</v>
      </c>
      <c r="F7" s="220"/>
      <c r="G7" s="233"/>
      <c r="H7" s="221"/>
      <c r="I7" s="224"/>
      <c r="J7" s="221"/>
      <c r="K7" s="221"/>
      <c r="L7" s="225"/>
      <c r="M7" s="128"/>
      <c r="N7" s="154"/>
    </row>
    <row r="8" spans="1:16" ht="31.9" customHeight="1" x14ac:dyDescent="0.25">
      <c r="A8" s="239"/>
      <c r="B8" s="240"/>
      <c r="C8" s="207"/>
      <c r="D8" s="207"/>
      <c r="E8" s="208">
        <f t="shared" si="0"/>
        <v>0</v>
      </c>
      <c r="F8" s="241"/>
      <c r="G8" s="233"/>
      <c r="H8" s="222"/>
      <c r="I8" s="242"/>
      <c r="J8" s="222"/>
      <c r="K8" s="222"/>
      <c r="L8" s="207"/>
      <c r="M8" s="202"/>
    </row>
    <row r="9" spans="1:16" ht="31.9" customHeight="1" x14ac:dyDescent="0.25">
      <c r="A9" s="239"/>
      <c r="B9" s="240"/>
      <c r="C9" s="207"/>
      <c r="D9" s="207"/>
      <c r="E9" s="208">
        <f t="shared" si="0"/>
        <v>0</v>
      </c>
      <c r="F9" s="241"/>
      <c r="G9" s="233"/>
      <c r="H9" s="222"/>
      <c r="I9" s="242"/>
      <c r="J9" s="222"/>
      <c r="K9" s="222"/>
      <c r="L9" s="207"/>
      <c r="M9" s="228"/>
    </row>
    <row r="10" spans="1:16" ht="31.9" customHeight="1" x14ac:dyDescent="0.25">
      <c r="A10" s="199"/>
      <c r="B10" s="179"/>
      <c r="C10" s="178"/>
      <c r="D10" s="204"/>
      <c r="E10" s="226">
        <f t="shared" si="0"/>
        <v>0</v>
      </c>
      <c r="F10" s="227"/>
      <c r="G10" s="194"/>
      <c r="H10" s="181"/>
      <c r="I10" s="105"/>
      <c r="J10" s="181"/>
      <c r="K10" s="181"/>
      <c r="L10" s="178"/>
    </row>
    <row r="11" spans="1:16" ht="31.9" customHeight="1" x14ac:dyDescent="0.25">
      <c r="E11" s="210">
        <f t="shared" si="0"/>
        <v>0</v>
      </c>
      <c r="F11" s="211"/>
      <c r="G11" s="136"/>
    </row>
    <row r="12" spans="1:16" s="72" customFormat="1" ht="31.9" customHeight="1" x14ac:dyDescent="0.25">
      <c r="A12" s="193"/>
      <c r="B12" s="66"/>
      <c r="C12" s="130"/>
      <c r="D12" s="212"/>
      <c r="E12" s="208">
        <f t="shared" si="0"/>
        <v>0</v>
      </c>
      <c r="F12" s="213"/>
      <c r="G12" s="194"/>
      <c r="H12" s="68"/>
      <c r="I12" s="73"/>
      <c r="J12" s="68"/>
      <c r="K12" s="68"/>
      <c r="L12" s="74"/>
    </row>
    <row r="13" spans="1:16" s="72" customFormat="1" ht="31.9" customHeight="1" x14ac:dyDescent="0.25">
      <c r="A13" s="193"/>
      <c r="B13" s="66"/>
      <c r="C13" s="130"/>
      <c r="D13" s="131"/>
      <c r="E13" s="214">
        <f t="shared" si="0"/>
        <v>0</v>
      </c>
      <c r="F13" s="209"/>
      <c r="G13" s="136"/>
      <c r="H13" s="68"/>
      <c r="I13" s="73"/>
      <c r="J13" s="68"/>
      <c r="K13" s="68"/>
      <c r="L13" s="74"/>
    </row>
    <row r="14" spans="1:16" s="72" customFormat="1" ht="31.9" customHeight="1" x14ac:dyDescent="0.25">
      <c r="A14" s="193"/>
      <c r="B14" s="66"/>
      <c r="C14" s="130"/>
      <c r="D14" s="212"/>
      <c r="E14" s="216">
        <f t="shared" si="0"/>
        <v>0</v>
      </c>
      <c r="F14" s="217"/>
      <c r="G14" s="136"/>
      <c r="H14" s="68"/>
      <c r="I14" s="73"/>
      <c r="J14" s="68"/>
      <c r="K14" s="68"/>
      <c r="L14" s="74"/>
    </row>
    <row r="15" spans="1:16" s="72" customFormat="1" ht="31.9" customHeight="1" x14ac:dyDescent="0.25">
      <c r="A15" s="193"/>
      <c r="B15" s="66"/>
      <c r="C15" s="130"/>
      <c r="D15" s="212"/>
      <c r="E15" s="218">
        <f t="shared" si="0"/>
        <v>0</v>
      </c>
      <c r="F15" s="219"/>
      <c r="G15" s="215"/>
      <c r="H15" s="68"/>
      <c r="I15" s="73"/>
      <c r="J15" s="68"/>
      <c r="K15" s="68"/>
      <c r="L15" s="74"/>
    </row>
    <row r="16" spans="1:16" s="72" customFormat="1" ht="31.9" customHeight="1" thickBot="1" x14ac:dyDescent="0.3">
      <c r="A16" s="193"/>
      <c r="B16" s="66"/>
      <c r="C16" s="130"/>
      <c r="D16" s="131"/>
      <c r="E16" s="146">
        <f t="shared" si="0"/>
        <v>0</v>
      </c>
      <c r="F16" s="103"/>
      <c r="G16" s="196"/>
      <c r="H16" s="68"/>
      <c r="I16" s="73"/>
      <c r="J16" s="68"/>
      <c r="K16" s="68"/>
      <c r="L16" s="74"/>
    </row>
    <row r="17" spans="1:12" s="72" customFormat="1" ht="31.9" customHeight="1" thickBot="1" x14ac:dyDescent="0.3">
      <c r="A17" s="193"/>
      <c r="B17" s="66"/>
      <c r="C17" s="130"/>
      <c r="D17" s="131"/>
      <c r="E17" s="161">
        <f t="shared" si="0"/>
        <v>0</v>
      </c>
      <c r="F17" s="67"/>
      <c r="G17" s="196"/>
      <c r="H17" s="68"/>
      <c r="I17" s="73"/>
      <c r="J17" s="68"/>
      <c r="K17" s="68"/>
      <c r="L17" s="74"/>
    </row>
    <row r="18" spans="1:12" s="72" customFormat="1" ht="31.9" customHeight="1" thickBot="1" x14ac:dyDescent="0.3">
      <c r="A18" s="193"/>
      <c r="B18" s="66"/>
      <c r="C18" s="130"/>
      <c r="D18" s="131"/>
      <c r="E18" s="161">
        <f t="shared" si="0"/>
        <v>0</v>
      </c>
      <c r="F18" s="67"/>
      <c r="G18" s="196"/>
      <c r="H18" s="68"/>
      <c r="I18" s="73"/>
      <c r="J18" s="68"/>
      <c r="K18" s="68"/>
      <c r="L18" s="74"/>
    </row>
    <row r="19" spans="1:12" s="72" customFormat="1" ht="31.9" customHeight="1" thickBot="1" x14ac:dyDescent="0.3">
      <c r="A19" s="193"/>
      <c r="B19" s="66"/>
      <c r="C19" s="130"/>
      <c r="D19" s="131"/>
      <c r="E19" s="161">
        <f t="shared" si="0"/>
        <v>0</v>
      </c>
      <c r="F19" s="67"/>
      <c r="G19" s="196"/>
      <c r="H19" s="68"/>
      <c r="I19" s="73"/>
      <c r="J19" s="68"/>
      <c r="K19" s="68"/>
      <c r="L19" s="74"/>
    </row>
    <row r="20" spans="1:12" s="72" customFormat="1" ht="31.9" customHeight="1" thickBot="1" x14ac:dyDescent="0.3">
      <c r="A20" s="193"/>
      <c r="B20" s="66"/>
      <c r="C20" s="130"/>
      <c r="D20" s="131"/>
      <c r="E20" s="161">
        <f t="shared" si="0"/>
        <v>0</v>
      </c>
      <c r="F20" s="67"/>
      <c r="G20" s="196"/>
      <c r="H20" s="68"/>
      <c r="I20" s="73"/>
      <c r="J20" s="68"/>
      <c r="K20" s="68"/>
      <c r="L20" s="74"/>
    </row>
    <row r="21" spans="1:12" s="72" customFormat="1" ht="31.9" customHeight="1" thickBot="1" x14ac:dyDescent="0.3">
      <c r="A21" s="200"/>
      <c r="B21" s="75"/>
      <c r="E21" s="161">
        <f t="shared" si="0"/>
        <v>0</v>
      </c>
      <c r="F21" s="74"/>
      <c r="G21" s="196"/>
      <c r="H21" s="76"/>
      <c r="I21" s="77"/>
      <c r="J21" s="76"/>
      <c r="K21" s="76"/>
    </row>
    <row r="22" spans="1:12" s="72" customFormat="1" ht="31.9" customHeight="1" thickBot="1" x14ac:dyDescent="0.3">
      <c r="A22" s="200"/>
      <c r="B22" s="75"/>
      <c r="E22" s="161">
        <f t="shared" si="0"/>
        <v>0</v>
      </c>
      <c r="F22" s="74"/>
      <c r="G22" s="196"/>
      <c r="H22" s="76"/>
      <c r="I22" s="77"/>
      <c r="J22" s="76"/>
      <c r="K22" s="76"/>
    </row>
    <row r="23" spans="1:12" s="72" customFormat="1" ht="31.9" customHeight="1" thickBot="1" x14ac:dyDescent="0.3">
      <c r="A23" s="200"/>
      <c r="B23" s="75"/>
      <c r="E23" s="161">
        <f t="shared" si="0"/>
        <v>0</v>
      </c>
      <c r="F23" s="74"/>
      <c r="G23" s="196"/>
      <c r="H23" s="76"/>
      <c r="I23" s="77"/>
      <c r="J23" s="76"/>
      <c r="K23" s="76"/>
    </row>
    <row r="24" spans="1:12" s="72" customFormat="1" ht="31.9" customHeight="1" thickBot="1" x14ac:dyDescent="0.3">
      <c r="A24" s="200"/>
      <c r="B24" s="75"/>
      <c r="E24" s="161">
        <f t="shared" si="0"/>
        <v>0</v>
      </c>
      <c r="F24" s="74"/>
      <c r="G24" s="196"/>
      <c r="H24" s="76"/>
      <c r="I24" s="77"/>
      <c r="J24" s="76"/>
      <c r="K24" s="76"/>
    </row>
    <row r="25" spans="1:12" s="72" customFormat="1" ht="31.9" customHeight="1" x14ac:dyDescent="0.25">
      <c r="A25" s="200"/>
      <c r="B25" s="75"/>
      <c r="E25" s="161">
        <f t="shared" si="0"/>
        <v>0</v>
      </c>
      <c r="F25" s="74"/>
      <c r="G25" s="196"/>
      <c r="H25" s="76"/>
      <c r="I25" s="77"/>
      <c r="J25" s="76"/>
      <c r="K25" s="76"/>
    </row>
    <row r="26" spans="1:12" s="72" customFormat="1" ht="31.9" customHeight="1" x14ac:dyDescent="0.25">
      <c r="A26" s="200"/>
      <c r="B26" s="75"/>
      <c r="F26" s="74"/>
      <c r="G26" s="196"/>
      <c r="H26" s="76"/>
      <c r="I26" s="77"/>
      <c r="J26" s="76"/>
      <c r="K26" s="76"/>
    </row>
    <row r="27" spans="1:12" s="72" customFormat="1" ht="31.9" customHeight="1" x14ac:dyDescent="0.25">
      <c r="A27" s="200"/>
      <c r="B27" s="75"/>
      <c r="F27" s="74"/>
      <c r="G27" s="196"/>
      <c r="H27" s="76"/>
      <c r="I27" s="77"/>
      <c r="J27" s="76"/>
      <c r="K27" s="76"/>
    </row>
    <row r="28" spans="1:12" s="72" customFormat="1" ht="31.9" customHeight="1" x14ac:dyDescent="0.25">
      <c r="A28" s="200"/>
      <c r="B28" s="75"/>
      <c r="F28" s="74"/>
      <c r="G28" s="196"/>
      <c r="H28" s="76"/>
      <c r="I28" s="77"/>
      <c r="J28" s="76"/>
      <c r="K28" s="76"/>
    </row>
    <row r="29" spans="1:12" s="72" customFormat="1" ht="31.9" customHeight="1" x14ac:dyDescent="0.25">
      <c r="A29" s="200"/>
      <c r="B29" s="75"/>
      <c r="F29" s="74"/>
      <c r="G29" s="196"/>
      <c r="H29" s="76"/>
      <c r="I29" s="77"/>
      <c r="J29" s="76"/>
      <c r="K29" s="76"/>
    </row>
    <row r="30" spans="1:12" s="72" customFormat="1" ht="31.9" customHeight="1" x14ac:dyDescent="0.25">
      <c r="A30" s="200"/>
      <c r="B30" s="75"/>
      <c r="F30" s="74"/>
      <c r="G30" s="196"/>
      <c r="H30" s="76"/>
      <c r="I30" s="77"/>
      <c r="J30" s="76"/>
      <c r="K30" s="76"/>
    </row>
    <row r="31" spans="1:12" s="72" customFormat="1" ht="31.9" customHeight="1" x14ac:dyDescent="0.25">
      <c r="A31" s="200"/>
      <c r="B31" s="75"/>
      <c r="F31" s="74"/>
      <c r="G31" s="196"/>
      <c r="H31" s="76"/>
      <c r="I31" s="77"/>
      <c r="J31" s="76"/>
      <c r="K31" s="76"/>
    </row>
    <row r="32" spans="1:12" s="72" customFormat="1" ht="31.9" customHeight="1" x14ac:dyDescent="0.25">
      <c r="A32" s="200"/>
      <c r="B32" s="75"/>
      <c r="F32" s="74"/>
      <c r="G32" s="196"/>
      <c r="H32" s="76"/>
      <c r="I32" s="77"/>
      <c r="J32" s="76"/>
      <c r="K32" s="76"/>
    </row>
    <row r="33" spans="1:11" s="72" customFormat="1" ht="31.9" customHeight="1" x14ac:dyDescent="0.25">
      <c r="A33" s="200"/>
      <c r="B33" s="75"/>
      <c r="F33" s="74"/>
      <c r="G33" s="196"/>
      <c r="H33" s="76"/>
      <c r="I33" s="77"/>
      <c r="J33" s="76"/>
      <c r="K33" s="76"/>
    </row>
    <row r="34" spans="1:11" s="72" customFormat="1" ht="31.9" customHeight="1" x14ac:dyDescent="0.25">
      <c r="A34" s="200"/>
      <c r="B34" s="75"/>
      <c r="F34" s="74"/>
      <c r="G34" s="196"/>
      <c r="H34" s="76"/>
      <c r="I34" s="77"/>
      <c r="J34" s="76"/>
      <c r="K34" s="76"/>
    </row>
    <row r="35" spans="1:11" s="72" customFormat="1" ht="31.9" customHeight="1" x14ac:dyDescent="0.25">
      <c r="A35" s="200"/>
      <c r="B35" s="75"/>
      <c r="F35" s="74"/>
      <c r="G35" s="196"/>
      <c r="H35" s="76"/>
      <c r="I35" s="77"/>
      <c r="J35" s="76"/>
      <c r="K35" s="76"/>
    </row>
    <row r="36" spans="1:11" s="72" customFormat="1" ht="31.9" customHeight="1" x14ac:dyDescent="0.25">
      <c r="A36" s="200"/>
      <c r="B36" s="75"/>
      <c r="F36" s="74"/>
      <c r="G36" s="196"/>
      <c r="H36" s="76"/>
      <c r="I36" s="77"/>
      <c r="J36" s="76"/>
      <c r="K36" s="76"/>
    </row>
    <row r="37" spans="1:11" s="72" customFormat="1" ht="31.9" customHeight="1" x14ac:dyDescent="0.25">
      <c r="A37" s="200"/>
      <c r="B37" s="75"/>
      <c r="F37" s="74"/>
      <c r="G37" s="196"/>
      <c r="H37" s="76"/>
      <c r="I37" s="77"/>
      <c r="J37" s="76"/>
      <c r="K37" s="76"/>
    </row>
    <row r="38" spans="1:11" s="72" customFormat="1" ht="31.9" customHeight="1" x14ac:dyDescent="0.25">
      <c r="A38" s="200"/>
      <c r="B38" s="75"/>
      <c r="F38" s="74"/>
      <c r="G38" s="196"/>
      <c r="H38" s="76"/>
      <c r="I38" s="77"/>
      <c r="J38" s="76"/>
      <c r="K38" s="76"/>
    </row>
    <row r="39" spans="1:11" s="72" customFormat="1" ht="31.9" customHeight="1" x14ac:dyDescent="0.25">
      <c r="A39" s="200"/>
      <c r="B39" s="75"/>
      <c r="F39" s="74"/>
      <c r="G39" s="196"/>
      <c r="H39" s="76"/>
      <c r="I39" s="77"/>
      <c r="J39" s="76"/>
      <c r="K39" s="76"/>
    </row>
    <row r="40" spans="1:11" s="72" customFormat="1" ht="31.9" customHeight="1" x14ac:dyDescent="0.25">
      <c r="A40" s="200"/>
      <c r="B40" s="75"/>
      <c r="F40" s="74"/>
      <c r="G40" s="196"/>
      <c r="H40" s="76"/>
      <c r="I40" s="77"/>
      <c r="J40" s="76"/>
      <c r="K40" s="76"/>
    </row>
    <row r="41" spans="1:11" s="72" customFormat="1" ht="31.9" customHeight="1" x14ac:dyDescent="0.25">
      <c r="A41" s="200"/>
      <c r="B41" s="75"/>
      <c r="F41" s="74"/>
      <c r="G41" s="196"/>
      <c r="H41" s="76"/>
      <c r="I41" s="77"/>
      <c r="J41" s="76"/>
      <c r="K41" s="76"/>
    </row>
    <row r="42" spans="1:11" s="72" customFormat="1" ht="31.9" customHeight="1" x14ac:dyDescent="0.25">
      <c r="A42" s="200"/>
      <c r="B42" s="75"/>
      <c r="F42" s="74"/>
      <c r="G42" s="196"/>
      <c r="H42" s="76"/>
      <c r="I42" s="77"/>
      <c r="J42" s="76"/>
      <c r="K42" s="76"/>
    </row>
    <row r="43" spans="1:11" s="72" customFormat="1" ht="31.9" customHeight="1" x14ac:dyDescent="0.25">
      <c r="A43" s="200"/>
      <c r="B43" s="75"/>
      <c r="F43" s="74"/>
      <c r="G43" s="196"/>
      <c r="H43" s="76"/>
      <c r="I43" s="77"/>
      <c r="J43" s="76"/>
      <c r="K43" s="76"/>
    </row>
    <row r="44" spans="1:11" s="72" customFormat="1" ht="31.9" customHeight="1" x14ac:dyDescent="0.25">
      <c r="A44" s="200"/>
      <c r="B44" s="75"/>
      <c r="F44" s="74"/>
      <c r="G44" s="196"/>
      <c r="H44" s="76"/>
      <c r="I44" s="77"/>
      <c r="J44" s="76"/>
      <c r="K44" s="76"/>
    </row>
    <row r="45" spans="1:11" s="72" customFormat="1" ht="31.9" customHeight="1" x14ac:dyDescent="0.25">
      <c r="A45" s="200"/>
      <c r="B45" s="75"/>
      <c r="F45" s="74"/>
      <c r="G45" s="196"/>
      <c r="H45" s="76"/>
      <c r="I45" s="77"/>
      <c r="J45" s="76"/>
      <c r="K45" s="76"/>
    </row>
    <row r="46" spans="1:11" s="72" customFormat="1" ht="31.9" customHeight="1" x14ac:dyDescent="0.25">
      <c r="A46" s="200"/>
      <c r="B46" s="75"/>
      <c r="F46" s="74"/>
      <c r="G46" s="196"/>
      <c r="H46" s="76"/>
      <c r="I46" s="77"/>
      <c r="J46" s="76"/>
      <c r="K46" s="76"/>
    </row>
    <row r="47" spans="1:11" s="72" customFormat="1" ht="31.9" customHeight="1" x14ac:dyDescent="0.25">
      <c r="A47" s="200"/>
      <c r="B47" s="75"/>
      <c r="F47" s="74"/>
      <c r="G47" s="196"/>
      <c r="H47" s="76"/>
      <c r="I47" s="77"/>
      <c r="J47" s="76"/>
      <c r="K47" s="76"/>
    </row>
    <row r="48" spans="1:11" s="72" customFormat="1" ht="31.9" customHeight="1" x14ac:dyDescent="0.25">
      <c r="A48" s="200"/>
      <c r="B48" s="75"/>
      <c r="F48" s="74"/>
      <c r="G48" s="196"/>
      <c r="H48" s="76"/>
      <c r="I48" s="77"/>
      <c r="J48" s="76"/>
      <c r="K48" s="76"/>
    </row>
    <row r="49" spans="1:11" s="72" customFormat="1" ht="31.9" customHeight="1" x14ac:dyDescent="0.25">
      <c r="A49" s="200"/>
      <c r="B49" s="75"/>
      <c r="F49" s="74"/>
      <c r="G49" s="196"/>
      <c r="H49" s="76"/>
      <c r="I49" s="77"/>
      <c r="J49" s="76"/>
      <c r="K49" s="76"/>
    </row>
    <row r="50" spans="1:11" s="72" customFormat="1" ht="31.9" customHeight="1" x14ac:dyDescent="0.25">
      <c r="A50" s="200"/>
      <c r="B50" s="75"/>
      <c r="F50" s="74"/>
      <c r="G50" s="196"/>
      <c r="H50" s="76"/>
      <c r="I50" s="77"/>
      <c r="J50" s="76"/>
      <c r="K50" s="76"/>
    </row>
    <row r="51" spans="1:11" s="72" customFormat="1" ht="31.9" customHeight="1" x14ac:dyDescent="0.25">
      <c r="A51" s="200"/>
      <c r="B51" s="75"/>
      <c r="F51" s="74"/>
      <c r="G51" s="196"/>
      <c r="H51" s="76"/>
      <c r="I51" s="77"/>
      <c r="J51" s="76"/>
      <c r="K51" s="76"/>
    </row>
    <row r="52" spans="1:11" s="72" customFormat="1" ht="31.9" customHeight="1" x14ac:dyDescent="0.25">
      <c r="A52" s="200"/>
      <c r="B52" s="75"/>
      <c r="F52" s="74"/>
      <c r="G52" s="196"/>
      <c r="H52" s="76"/>
      <c r="I52" s="77"/>
      <c r="J52" s="76"/>
      <c r="K52" s="76"/>
    </row>
    <row r="53" spans="1:11" s="72" customFormat="1" ht="31.9" customHeight="1" x14ac:dyDescent="0.25">
      <c r="A53" s="200"/>
      <c r="B53" s="75"/>
      <c r="F53" s="74"/>
      <c r="G53" s="196"/>
      <c r="H53" s="76"/>
      <c r="I53" s="77"/>
      <c r="J53" s="76"/>
      <c r="K53" s="76"/>
    </row>
    <row r="54" spans="1:11" s="72" customFormat="1" ht="31.9" customHeight="1" x14ac:dyDescent="0.25">
      <c r="A54" s="200"/>
      <c r="B54" s="75"/>
      <c r="F54" s="74"/>
      <c r="G54" s="196"/>
      <c r="H54" s="76"/>
      <c r="I54" s="77"/>
      <c r="J54" s="76"/>
      <c r="K54" s="76"/>
    </row>
    <row r="55" spans="1:11" s="72" customFormat="1" ht="31.9" customHeight="1" x14ac:dyDescent="0.25">
      <c r="A55" s="200"/>
      <c r="B55" s="75"/>
      <c r="F55" s="74"/>
      <c r="G55" s="196"/>
      <c r="H55" s="76"/>
      <c r="I55" s="77"/>
      <c r="J55" s="76"/>
      <c r="K55" s="76"/>
    </row>
    <row r="56" spans="1:11" s="72" customFormat="1" ht="31.9" customHeight="1" x14ac:dyDescent="0.25">
      <c r="A56" s="200"/>
      <c r="B56" s="75"/>
      <c r="F56" s="74"/>
      <c r="G56" s="196"/>
      <c r="H56" s="76"/>
      <c r="I56" s="77"/>
      <c r="J56" s="76"/>
      <c r="K56" s="76"/>
    </row>
    <row r="57" spans="1:11" s="72" customFormat="1" ht="31.9" customHeight="1" x14ac:dyDescent="0.25">
      <c r="A57" s="200"/>
      <c r="B57" s="75"/>
      <c r="F57" s="74"/>
      <c r="G57" s="196"/>
      <c r="H57" s="76"/>
      <c r="I57" s="77"/>
      <c r="J57" s="76"/>
      <c r="K57" s="76"/>
    </row>
    <row r="58" spans="1:11" s="72" customFormat="1" ht="31.9" customHeight="1" x14ac:dyDescent="0.25">
      <c r="A58" s="200"/>
      <c r="B58" s="75"/>
      <c r="F58" s="74"/>
      <c r="G58" s="196"/>
      <c r="H58" s="76"/>
      <c r="I58" s="77"/>
      <c r="J58" s="76"/>
      <c r="K58" s="76"/>
    </row>
    <row r="59" spans="1:11" s="72" customFormat="1" ht="31.9" customHeight="1" x14ac:dyDescent="0.25">
      <c r="A59" s="200"/>
      <c r="B59" s="75"/>
      <c r="F59" s="74"/>
      <c r="G59" s="196"/>
      <c r="H59" s="76"/>
      <c r="I59" s="77"/>
      <c r="J59" s="76"/>
      <c r="K59" s="76"/>
    </row>
    <row r="60" spans="1:11" s="72" customFormat="1" ht="31.9" customHeight="1" x14ac:dyDescent="0.25">
      <c r="A60" s="200"/>
      <c r="B60" s="75"/>
      <c r="F60" s="74"/>
      <c r="G60" s="196"/>
      <c r="H60" s="76"/>
      <c r="I60" s="77"/>
      <c r="J60" s="76"/>
      <c r="K60" s="76"/>
    </row>
    <row r="61" spans="1:11" s="72" customFormat="1" ht="31.9" customHeight="1" x14ac:dyDescent="0.25">
      <c r="A61" s="200"/>
      <c r="B61" s="75"/>
      <c r="F61" s="74"/>
      <c r="G61" s="196"/>
      <c r="H61" s="76"/>
      <c r="I61" s="77"/>
      <c r="J61" s="76"/>
      <c r="K61" s="76"/>
    </row>
    <row r="62" spans="1:11" s="72" customFormat="1" ht="31.9" customHeight="1" x14ac:dyDescent="0.25">
      <c r="A62" s="200"/>
      <c r="B62" s="75"/>
      <c r="F62" s="74"/>
      <c r="G62" s="196"/>
      <c r="H62" s="76"/>
      <c r="I62" s="77"/>
      <c r="J62" s="76"/>
      <c r="K62" s="76"/>
    </row>
    <row r="63" spans="1:11" s="72" customFormat="1" ht="31.9" customHeight="1" x14ac:dyDescent="0.25">
      <c r="A63" s="200"/>
      <c r="B63" s="75"/>
      <c r="F63" s="74"/>
      <c r="G63" s="196"/>
      <c r="H63" s="76"/>
      <c r="I63" s="77"/>
      <c r="J63" s="76"/>
      <c r="K63" s="76"/>
    </row>
    <row r="64" spans="1:11" s="72" customFormat="1" ht="31.9" customHeight="1" x14ac:dyDescent="0.25">
      <c r="A64" s="200"/>
      <c r="B64" s="75"/>
      <c r="F64" s="74"/>
      <c r="G64" s="196"/>
      <c r="H64" s="76"/>
      <c r="I64" s="77"/>
      <c r="J64" s="76"/>
      <c r="K64" s="76"/>
    </row>
    <row r="65" spans="1:11" s="72" customFormat="1" ht="31.9" customHeight="1" x14ac:dyDescent="0.25">
      <c r="A65" s="200"/>
      <c r="B65" s="75"/>
      <c r="F65" s="74"/>
      <c r="G65" s="196"/>
      <c r="H65" s="76"/>
      <c r="I65" s="77"/>
      <c r="J65" s="76"/>
      <c r="K65" s="76"/>
    </row>
    <row r="66" spans="1:11" s="72" customFormat="1" ht="31.9" customHeight="1" x14ac:dyDescent="0.25">
      <c r="A66" s="200"/>
      <c r="B66" s="75"/>
      <c r="F66" s="74"/>
      <c r="G66" s="196"/>
      <c r="H66" s="76"/>
      <c r="I66" s="77"/>
      <c r="J66" s="76"/>
      <c r="K66" s="76"/>
    </row>
    <row r="67" spans="1:11" s="72" customFormat="1" ht="31.9" customHeight="1" x14ac:dyDescent="0.25">
      <c r="A67" s="200"/>
      <c r="B67" s="75"/>
      <c r="F67" s="74"/>
      <c r="G67" s="196"/>
      <c r="H67" s="76"/>
      <c r="I67" s="77"/>
      <c r="J67" s="76"/>
      <c r="K67" s="76"/>
    </row>
    <row r="68" spans="1:11" s="72" customFormat="1" ht="31.9" customHeight="1" x14ac:dyDescent="0.25">
      <c r="A68" s="200"/>
      <c r="B68" s="75"/>
      <c r="F68" s="74"/>
      <c r="G68" s="196"/>
      <c r="H68" s="76"/>
      <c r="I68" s="77"/>
      <c r="J68" s="76"/>
      <c r="K68" s="76"/>
    </row>
    <row r="69" spans="1:11" s="72" customFormat="1" ht="31.9" customHeight="1" x14ac:dyDescent="0.25">
      <c r="A69" s="200"/>
      <c r="B69" s="75"/>
      <c r="F69" s="74"/>
      <c r="G69" s="196"/>
      <c r="H69" s="76"/>
      <c r="I69" s="77"/>
      <c r="J69" s="76"/>
      <c r="K69" s="76"/>
    </row>
    <row r="70" spans="1:11" s="72" customFormat="1" ht="31.9" customHeight="1" x14ac:dyDescent="0.25">
      <c r="A70" s="200"/>
      <c r="B70" s="75"/>
      <c r="F70" s="74"/>
      <c r="G70" s="196"/>
      <c r="H70" s="76"/>
      <c r="I70" s="77"/>
      <c r="J70" s="76"/>
      <c r="K70" s="76"/>
    </row>
    <row r="71" spans="1:11" s="72" customFormat="1" ht="31.9" customHeight="1" x14ac:dyDescent="0.25">
      <c r="A71" s="200"/>
      <c r="B71" s="75"/>
      <c r="F71" s="74"/>
      <c r="G71" s="196"/>
      <c r="H71" s="76"/>
      <c r="I71" s="77"/>
      <c r="J71" s="76"/>
      <c r="K71" s="76"/>
    </row>
    <row r="72" spans="1:11" s="72" customFormat="1" ht="31.9" customHeight="1" x14ac:dyDescent="0.25">
      <c r="A72" s="200"/>
      <c r="B72" s="75"/>
      <c r="F72" s="74"/>
      <c r="G72" s="196"/>
      <c r="H72" s="76"/>
      <c r="I72" s="77"/>
      <c r="J72" s="76"/>
      <c r="K72" s="76"/>
    </row>
    <row r="73" spans="1:11" s="72" customFormat="1" ht="31.9" customHeight="1" x14ac:dyDescent="0.25">
      <c r="A73" s="200"/>
      <c r="B73" s="75"/>
      <c r="F73" s="74"/>
      <c r="G73" s="196"/>
      <c r="H73" s="76"/>
      <c r="I73" s="77"/>
      <c r="J73" s="76"/>
      <c r="K73" s="76"/>
    </row>
    <row r="74" spans="1:11" s="72" customFormat="1" ht="31.9" customHeight="1" x14ac:dyDescent="0.25">
      <c r="A74" s="200"/>
      <c r="B74" s="75"/>
      <c r="F74" s="74"/>
      <c r="G74" s="196"/>
      <c r="H74" s="76"/>
      <c r="I74" s="77"/>
      <c r="J74" s="76"/>
      <c r="K74" s="76"/>
    </row>
    <row r="75" spans="1:11" s="72" customFormat="1" ht="31.9" customHeight="1" x14ac:dyDescent="0.25">
      <c r="A75" s="200"/>
      <c r="B75" s="75"/>
      <c r="F75" s="74"/>
      <c r="G75" s="196"/>
      <c r="H75" s="76"/>
      <c r="I75" s="77"/>
      <c r="J75" s="76"/>
      <c r="K75" s="76"/>
    </row>
    <row r="76" spans="1:11" s="72" customFormat="1" ht="31.9" customHeight="1" x14ac:dyDescent="0.25">
      <c r="A76" s="200"/>
      <c r="B76" s="75"/>
      <c r="F76" s="74"/>
      <c r="G76" s="196"/>
      <c r="H76" s="76"/>
      <c r="I76" s="77"/>
      <c r="J76" s="76"/>
      <c r="K76" s="76"/>
    </row>
    <row r="77" spans="1:11" s="72" customFormat="1" ht="31.9" customHeight="1" x14ac:dyDescent="0.25">
      <c r="A77" s="200"/>
      <c r="B77" s="75"/>
      <c r="F77" s="74"/>
      <c r="G77" s="196"/>
      <c r="H77" s="76"/>
      <c r="I77" s="77"/>
      <c r="J77" s="76"/>
      <c r="K77" s="76"/>
    </row>
    <row r="78" spans="1:11" s="72" customFormat="1" ht="31.9" customHeight="1" x14ac:dyDescent="0.25">
      <c r="A78" s="200"/>
      <c r="B78" s="75"/>
      <c r="F78" s="74"/>
      <c r="G78" s="196"/>
      <c r="H78" s="76"/>
      <c r="I78" s="77"/>
      <c r="J78" s="76"/>
      <c r="K78" s="76"/>
    </row>
    <row r="79" spans="1:11" ht="31.9" customHeight="1" x14ac:dyDescent="0.25">
      <c r="H79" s="76"/>
      <c r="J79" s="76"/>
      <c r="K79" s="76"/>
    </row>
    <row r="80" spans="1:11" ht="31.9" customHeight="1" x14ac:dyDescent="0.25">
      <c r="H80" s="76"/>
      <c r="J80" s="76"/>
      <c r="K80" s="76"/>
    </row>
    <row r="81" spans="8:11" ht="31.9" customHeight="1" x14ac:dyDescent="0.25">
      <c r="H81" s="76"/>
      <c r="J81" s="76"/>
      <c r="K81" s="76"/>
    </row>
    <row r="82" spans="8:11" ht="31.9" customHeight="1" x14ac:dyDescent="0.25">
      <c r="H82" s="76"/>
      <c r="J82" s="76"/>
      <c r="K82" s="76"/>
    </row>
    <row r="83" spans="8:11" ht="31.9" customHeight="1" x14ac:dyDescent="0.25">
      <c r="H83" s="76"/>
      <c r="J83" s="76"/>
      <c r="K83" s="76"/>
    </row>
    <row r="84" spans="8:11" ht="31.9" customHeight="1" x14ac:dyDescent="0.25">
      <c r="H84" s="76"/>
      <c r="J84" s="76"/>
      <c r="K84" s="76"/>
    </row>
    <row r="85" spans="8:11" ht="31.9" customHeight="1" x14ac:dyDescent="0.25">
      <c r="H85" s="76"/>
      <c r="J85" s="76"/>
      <c r="K85" s="76"/>
    </row>
    <row r="86" spans="8:11" ht="31.9" customHeight="1" x14ac:dyDescent="0.25">
      <c r="H86" s="76"/>
      <c r="J86" s="76"/>
      <c r="K86" s="76"/>
    </row>
    <row r="87" spans="8:11" ht="31.9" customHeight="1" x14ac:dyDescent="0.25">
      <c r="H87" s="76"/>
      <c r="J87" s="76"/>
      <c r="K87" s="76"/>
    </row>
    <row r="88" spans="8:11" ht="31.9" customHeight="1" x14ac:dyDescent="0.25">
      <c r="H88" s="76"/>
      <c r="J88" s="76"/>
      <c r="K88" s="76"/>
    </row>
    <row r="89" spans="8:11" ht="31.9" customHeight="1" x14ac:dyDescent="0.25">
      <c r="H89" s="76"/>
      <c r="J89" s="76"/>
      <c r="K89" s="76"/>
    </row>
    <row r="90" spans="8:11" ht="31.9" customHeight="1" x14ac:dyDescent="0.25">
      <c r="H90" s="76"/>
      <c r="J90" s="76"/>
      <c r="K90" s="76"/>
    </row>
    <row r="91" spans="8:11" ht="31.9" customHeight="1" x14ac:dyDescent="0.25">
      <c r="H91" s="76"/>
      <c r="J91" s="76"/>
      <c r="K91" s="76"/>
    </row>
    <row r="92" spans="8:11" ht="31.9" customHeight="1" x14ac:dyDescent="0.25">
      <c r="H92" s="76"/>
      <c r="J92" s="76"/>
      <c r="K92" s="76"/>
    </row>
    <row r="93" spans="8:11" ht="31.9" customHeight="1" x14ac:dyDescent="0.25">
      <c r="H93" s="76"/>
      <c r="J93" s="76"/>
      <c r="K93" s="76"/>
    </row>
    <row r="94" spans="8:11" ht="31.9" customHeight="1" x14ac:dyDescent="0.25">
      <c r="H94" s="76"/>
      <c r="J94" s="76"/>
      <c r="K94" s="76"/>
    </row>
    <row r="95" spans="8:11" ht="31.9" customHeight="1" x14ac:dyDescent="0.25">
      <c r="H95" s="76"/>
      <c r="J95" s="76"/>
      <c r="K95" s="76"/>
    </row>
    <row r="96" spans="8:11" ht="31.9" customHeight="1" x14ac:dyDescent="0.25">
      <c r="H96" s="76"/>
      <c r="J96" s="76"/>
      <c r="K96" s="76"/>
    </row>
    <row r="97" spans="8:11" ht="31.9" customHeight="1" x14ac:dyDescent="0.25">
      <c r="H97" s="76"/>
      <c r="J97" s="76"/>
      <c r="K97" s="76"/>
    </row>
    <row r="98" spans="8:11" ht="31.9" customHeight="1" x14ac:dyDescent="0.25">
      <c r="H98" s="76"/>
      <c r="J98" s="76"/>
      <c r="K98" s="76"/>
    </row>
    <row r="99" spans="8:11" ht="31.9" customHeight="1" x14ac:dyDescent="0.25">
      <c r="H99" s="76"/>
      <c r="J99" s="76"/>
      <c r="K99" s="76"/>
    </row>
    <row r="100" spans="8:11" ht="31.9" customHeight="1" x14ac:dyDescent="0.25">
      <c r="H100" s="76"/>
      <c r="J100" s="76"/>
      <c r="K100" s="76"/>
    </row>
    <row r="101" spans="8:11" ht="31.9" customHeight="1" x14ac:dyDescent="0.25">
      <c r="H101" s="76"/>
      <c r="J101" s="76"/>
      <c r="K101" s="76"/>
    </row>
    <row r="102" spans="8:11" ht="31.9" customHeight="1" x14ac:dyDescent="0.25">
      <c r="H102" s="76"/>
      <c r="J102" s="76"/>
      <c r="K102" s="76"/>
    </row>
    <row r="103" spans="8:11" ht="31.9" customHeight="1" x14ac:dyDescent="0.25">
      <c r="H103" s="76"/>
      <c r="J103" s="76"/>
      <c r="K103" s="76"/>
    </row>
    <row r="104" spans="8:11" ht="31.9" customHeight="1" x14ac:dyDescent="0.25">
      <c r="H104" s="76"/>
      <c r="J104" s="76"/>
      <c r="K104" s="76"/>
    </row>
    <row r="105" spans="8:11" ht="31.9" customHeight="1" x14ac:dyDescent="0.25">
      <c r="H105" s="76"/>
      <c r="J105" s="76"/>
      <c r="K105" s="76"/>
    </row>
    <row r="106" spans="8:11" ht="31.9" customHeight="1" x14ac:dyDescent="0.25">
      <c r="H106" s="76"/>
      <c r="J106" s="76"/>
      <c r="K106" s="76"/>
    </row>
    <row r="107" spans="8:11" ht="31.9" customHeight="1" x14ac:dyDescent="0.25">
      <c r="H107" s="76"/>
      <c r="J107" s="76"/>
      <c r="K107" s="76"/>
    </row>
    <row r="108" spans="8:11" ht="31.9" customHeight="1" x14ac:dyDescent="0.25">
      <c r="H108" s="76"/>
      <c r="J108" s="76"/>
      <c r="K108" s="76"/>
    </row>
    <row r="109" spans="8:11" ht="31.9" customHeight="1" x14ac:dyDescent="0.25">
      <c r="H109" s="76"/>
      <c r="J109" s="76"/>
      <c r="K109" s="76"/>
    </row>
    <row r="110" spans="8:11" ht="31.9" customHeight="1" x14ac:dyDescent="0.25">
      <c r="H110" s="76"/>
      <c r="J110" s="76"/>
      <c r="K110" s="76"/>
    </row>
    <row r="111" spans="8:11" ht="31.9" customHeight="1" x14ac:dyDescent="0.25">
      <c r="H111" s="76"/>
      <c r="J111" s="76"/>
      <c r="K111" s="76"/>
    </row>
    <row r="112" spans="8:11" ht="31.9" customHeight="1" x14ac:dyDescent="0.25">
      <c r="H112" s="76"/>
      <c r="J112" s="76"/>
      <c r="K112" s="76"/>
    </row>
    <row r="113" spans="8:11" ht="31.9" customHeight="1" x14ac:dyDescent="0.25">
      <c r="H113" s="76"/>
      <c r="J113" s="76"/>
      <c r="K113" s="7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F7"/>
  <sheetViews>
    <sheetView workbookViewId="0">
      <selection activeCell="A5" sqref="A5:XFD7"/>
    </sheetView>
  </sheetViews>
  <sheetFormatPr defaultRowHeight="16.5" x14ac:dyDescent="0.25"/>
  <sheetData>
    <row r="4" spans="6:6" x14ac:dyDescent="0.25">
      <c r="F4">
        <f>SUM(F5:F7)</f>
        <v>158283</v>
      </c>
    </row>
    <row r="5" spans="6:6" x14ac:dyDescent="0.25">
      <c r="F5">
        <v>141247</v>
      </c>
    </row>
    <row r="6" spans="6:6" x14ac:dyDescent="0.25">
      <c r="F6">
        <v>15656</v>
      </c>
    </row>
    <row r="7" spans="6:6" x14ac:dyDescent="0.25">
      <c r="F7">
        <v>1380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FS</vt:lpstr>
      <vt:lpstr>JM</vt:lpstr>
      <vt:lpstr>工作表1</vt:lpstr>
      <vt:lpstr>EX</vt:lpstr>
      <vt:lpstr>TS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</dc:creator>
  <cp:lastModifiedBy>Nash_Laptop</cp:lastModifiedBy>
  <dcterms:created xsi:type="dcterms:W3CDTF">2025-08-06T10:20:16Z</dcterms:created>
  <dcterms:modified xsi:type="dcterms:W3CDTF">2025-09-18T13:49:51Z</dcterms:modified>
</cp:coreProperties>
</file>